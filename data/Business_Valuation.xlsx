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uation" sheetId="1" r:id="rId5"/>
    <sheet state="visible" name="Assumptions" sheetId="2" r:id="rId6"/>
    <sheet state="visible" name="Discount rate" sheetId="3" r:id="rId7"/>
    <sheet state="visible" name="Operating forecast" sheetId="4" r:id="rId8"/>
    <sheet state="visible" name="Cloud demand" sheetId="5" r:id="rId9"/>
    <sheet state="visible" name="Working capital" sheetId="6" r:id="rId10"/>
    <sheet state="visible" name="Capital and FCFF" sheetId="7" r:id="rId11"/>
    <sheet state="visible" name="Transition" sheetId="8" r:id="rId12"/>
    <sheet state="visible" name="Relative valuation" sheetId="9" r:id="rId13"/>
    <sheet state="visible" name="Simulation inputs" sheetId="10" r:id="rId14"/>
    <sheet state="visible" name="Financial assets" sheetId="11" r:id="rId15"/>
    <sheet state="visible" name="Historical base" sheetId="12" r:id="rId16"/>
    <sheet state="visible" name="Income statement" sheetId="13" r:id="rId17"/>
    <sheet state="visible" name="Balance sheet" sheetId="14" r:id="rId18"/>
    <sheet state="visible" name="Cash flow" sheetId="15" r:id="rId19"/>
    <sheet state="visible" name="Revenue breakdown" sheetId="16" r:id="rId20"/>
    <sheet state="visible" name="Segment breakdown" sheetId="17" r:id="rId21"/>
    <sheet state="visible" name="Sources and basis" sheetId="18" r:id="rId22"/>
    <sheet state="visible" name="Sensitivity" sheetId="19" r:id="rId2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L9">
      <text>
        <t xml:space="preserve">Not separately modelled after 2031. The consolidated transition contains the earnings and cost assumptions for 2032–2036.</t>
      </text>
    </comment>
    <comment authorId="0" ref="M9">
      <text>
        <t xml:space="preserve">Not separately modelled after 2031. The consolidated transition contains the earnings and cost assumptions for 2032–2036.</t>
      </text>
    </comment>
    <comment authorId="0" ref="N9">
      <text>
        <t xml:space="preserve">Not separately modelled after 2031. The consolidated transition contains the earnings and cost assumptions for 2032–2036.</t>
      </text>
    </comment>
    <comment authorId="0" ref="O9">
      <text>
        <t xml:space="preserve">Not separately modelled after 2031. The consolidated transition contains the earnings and cost assumptions for 2032–2036.</t>
      </text>
    </comment>
    <comment authorId="0" ref="P9">
      <text>
        <t xml:space="preserve">Not separately modelled after 2031. The consolidated transition contains the earnings and cost assumptions for 2032–2036.</t>
      </text>
    </comment>
    <comment authorId="0" ref="L10">
      <text>
        <t xml:space="preserve">Not separately modelled after 2031. The consolidated transition contains the earnings and cost assumptions for 2032–2036.</t>
      </text>
    </comment>
    <comment authorId="0" ref="M10">
      <text>
        <t xml:space="preserve">Not separately modelled after 2031. The consolidated transition contains the earnings and cost assumptions for 2032–2036.</t>
      </text>
    </comment>
    <comment authorId="0" ref="N10">
      <text>
        <t xml:space="preserve">Not separately modelled after 2031. The consolidated transition contains the earnings and cost assumptions for 2032–2036.</t>
      </text>
    </comment>
    <comment authorId="0" ref="O10">
      <text>
        <t xml:space="preserve">Not separately modelled after 2031. The consolidated transition contains the earnings and cost assumptions for 2032–2036.</t>
      </text>
    </comment>
    <comment authorId="0" ref="P10">
      <text>
        <t xml:space="preserve">Not separately modelled after 2031. The consolidated transition contains the earnings and cost assumptions for 2032–2036.</t>
      </text>
    </comment>
    <comment authorId="0" ref="L11">
      <text>
        <t xml:space="preserve">Not separately modelled after 2031. The consolidated transition contains the earnings and cost assumptions for 2032–2036.</t>
      </text>
    </comment>
    <comment authorId="0" ref="M11">
      <text>
        <t xml:space="preserve">Not separately modelled after 2031. The consolidated transition contains the earnings and cost assumptions for 2032–2036.</t>
      </text>
    </comment>
    <comment authorId="0" ref="N11">
      <text>
        <t xml:space="preserve">Not separately modelled after 2031. The consolidated transition contains the earnings and cost assumptions for 2032–2036.</t>
      </text>
    </comment>
    <comment authorId="0" ref="O11">
      <text>
        <t xml:space="preserve">Not separately modelled after 2031. The consolidated transition contains the earnings and cost assumptions for 2032–2036.</t>
      </text>
    </comment>
    <comment authorId="0" ref="P11">
      <text>
        <t xml:space="preserve">Not separately modelled after 2031. The consolidated transition contains the earnings and cost assumptions for 2032–2036.</t>
      </text>
    </comment>
    <comment authorId="0" ref="L61">
      <text>
        <t xml:space="preserve">Post-2031 demand is modelled at consolidated level.</t>
      </text>
    </comment>
    <comment authorId="0" ref="M61">
      <text>
        <t xml:space="preserve">Post-2031 demand is modelled at consolidated level.</t>
      </text>
    </comment>
    <comment authorId="0" ref="N61">
      <text>
        <t xml:space="preserve">Post-2031 demand is modelled at consolidated level.</t>
      </text>
    </comment>
    <comment authorId="0" ref="O61">
      <text>
        <t xml:space="preserve">Post-2031 demand is modelled at consolidated level.</t>
      </text>
    </comment>
    <comment authorId="0" ref="P61">
      <text>
        <t xml:space="preserve">Post-2031 demand is modelled at consolidated level.</t>
      </text>
    </comment>
    <comment authorId="0" ref="L20">
      <text>
        <t xml:space="preserve">Not separately modelled after 2031. The consolidated transition contains the earnings and cost assumptions for 2032–2036.</t>
      </text>
    </comment>
    <comment authorId="0" ref="M20">
      <text>
        <t xml:space="preserve">Not separately modelled after 2031. The consolidated transition contains the earnings and cost assumptions for 2032–2036.</t>
      </text>
    </comment>
    <comment authorId="0" ref="N20">
      <text>
        <t xml:space="preserve">Not separately modelled after 2031. The consolidated transition contains the earnings and cost assumptions for 2032–2036.</t>
      </text>
    </comment>
    <comment authorId="0" ref="O20">
      <text>
        <t xml:space="preserve">Not separately modelled after 2031. The consolidated transition contains the earnings and cost assumptions for 2032–2036.</t>
      </text>
    </comment>
    <comment authorId="0" ref="P20">
      <text>
        <t xml:space="preserve">Not separately modelled after 2031. The consolidated transition contains the earnings and cost assumptions for 2032–2036.</t>
      </text>
    </comment>
    <comment authorId="0" ref="L12">
      <text>
        <t xml:space="preserve">Not separately modelled after 2031. The consolidated transition contains the earnings and cost assumptions for 2032–2036.</t>
      </text>
    </comment>
    <comment authorId="0" ref="M12">
      <text>
        <t xml:space="preserve">Not separately modelled after 2031. The consolidated transition contains the earnings and cost assumptions for 2032–2036.</t>
      </text>
    </comment>
    <comment authorId="0" ref="N12">
      <text>
        <t xml:space="preserve">Not separately modelled after 2031. The consolidated transition contains the earnings and cost assumptions for 2032–2036.</t>
      </text>
    </comment>
    <comment authorId="0" ref="O12">
      <text>
        <t xml:space="preserve">Not separately modelled after 2031. The consolidated transition contains the earnings and cost assumptions for 2032–2036.</t>
      </text>
    </comment>
    <comment authorId="0" ref="P12">
      <text>
        <t xml:space="preserve">Not separately modelled after 2031. The consolidated transition contains the earnings and cost assumptions for 2032–2036.</t>
      </text>
    </comment>
    <comment authorId="0" ref="L62">
      <text>
        <t xml:space="preserve">Not separately modelled after 2031. The consolidated transition contains the earnings and cost assumptions for 2032–2036.</t>
      </text>
    </comment>
    <comment authorId="0" ref="M62">
      <text>
        <t xml:space="preserve">Not separately modelled after 2031. The consolidated transition contains the earnings and cost assumptions for 2032–2036.</t>
      </text>
    </comment>
    <comment authorId="0" ref="N62">
      <text>
        <t xml:space="preserve">Not separately modelled after 2031. The consolidated transition contains the earnings and cost assumptions for 2032–2036.</t>
      </text>
    </comment>
    <comment authorId="0" ref="O62">
      <text>
        <t xml:space="preserve">Not separately modelled after 2031. The consolidated transition contains the earnings and cost assumptions for 2032–2036.</t>
      </text>
    </comment>
    <comment authorId="0" ref="P62">
      <text>
        <t xml:space="preserve">Not separately modelled after 2031. The consolidated transition contains the earnings and cost assumptions for 2032–2036.</t>
      </text>
    </comment>
    <comment authorId="0" ref="L21">
      <text>
        <t xml:space="preserve">Not separately modelled after 2031. The consolidated transition contains the earnings and cost assumptions for 2032–2036.</t>
      </text>
    </comment>
    <comment authorId="0" ref="M21">
      <text>
        <t xml:space="preserve">Not separately modelled after 2031. The consolidated transition contains the earnings and cost assumptions for 2032–2036.</t>
      </text>
    </comment>
    <comment authorId="0" ref="N21">
      <text>
        <t xml:space="preserve">Not separately modelled after 2031. The consolidated transition contains the earnings and cost assumptions for 2032–2036.</t>
      </text>
    </comment>
    <comment authorId="0" ref="O21">
      <text>
        <t xml:space="preserve">Not separately modelled after 2031. The consolidated transition contains the earnings and cost assumptions for 2032–2036.</t>
      </text>
    </comment>
    <comment authorId="0" ref="P21">
      <text>
        <t xml:space="preserve">Not separately modelled after 2031. The consolidated transition contains the earnings and cost assumptions for 2032–2036.</t>
      </text>
    </comment>
    <comment authorId="0" ref="L46">
      <text>
        <t xml:space="preserve">Not separately modelled after 2031. The consolidated transition contains the earnings and cost assumptions for 2032–2036.</t>
      </text>
    </comment>
    <comment authorId="0" ref="L13">
      <text>
        <t xml:space="preserve">Not separately modelled after 2031. The consolidated transition contains the earnings and cost assumptions for 2032–2036.</t>
      </text>
    </comment>
    <comment authorId="0" ref="M46">
      <text>
        <t xml:space="preserve">Not separately modelled after 2031. The consolidated transition contains the earnings and cost assumptions for 2032–2036.</t>
      </text>
    </comment>
    <comment authorId="0" ref="M13">
      <text>
        <t xml:space="preserve">Not separately modelled after 2031. The consolidated transition contains the earnings and cost assumptions for 2032–2036.</t>
      </text>
    </comment>
    <comment authorId="0" ref="N46">
      <text>
        <t xml:space="preserve">Not separately modelled after 2031. The consolidated transition contains the earnings and cost assumptions for 2032–2036.</t>
      </text>
    </comment>
    <comment authorId="0" ref="N13">
      <text>
        <t xml:space="preserve">Not separately modelled after 2031. The consolidated transition contains the earnings and cost assumptions for 2032–2036.</t>
      </text>
    </comment>
    <comment authorId="0" ref="O46">
      <text>
        <t xml:space="preserve">Not separately modelled after 2031. The consolidated transition contains the earnings and cost assumptions for 2032–2036.</t>
      </text>
    </comment>
    <comment authorId="0" ref="O13">
      <text>
        <t xml:space="preserve">Not separately modelled after 2031. The consolidated transition contains the earnings and cost assumptions for 2032–2036.</t>
      </text>
    </comment>
    <comment authorId="0" ref="P46">
      <text>
        <t xml:space="preserve">Not separately modelled after 2031. The consolidated transition contains the earnings and cost assumptions for 2032–2036.</t>
      </text>
    </comment>
    <comment authorId="0" ref="P13">
      <text>
        <t xml:space="preserve">Not separately modelled after 2031. The consolidated transition contains the earnings and cost assumptions for 2032–2036.</t>
      </text>
    </comment>
    <comment authorId="0" ref="L63">
      <text>
        <t xml:space="preserve">Not separately modelled after 2031. The consolidated transition contains the earnings and cost assumptions for 2032–2036.</t>
      </text>
    </comment>
    <comment authorId="0" ref="M63">
      <text>
        <t xml:space="preserve">Not separately modelled after 2031. The consolidated transition contains the earnings and cost assumptions for 2032–2036.</t>
      </text>
    </comment>
    <comment authorId="0" ref="N63">
      <text>
        <t xml:space="preserve">Not separately modelled after 2031. The consolidated transition contains the earnings and cost assumptions for 2032–2036.</t>
      </text>
    </comment>
    <comment authorId="0" ref="O63">
      <text>
        <t xml:space="preserve">Not separately modelled after 2031. The consolidated transition contains the earnings and cost assumptions for 2032–2036.</t>
      </text>
    </comment>
    <comment authorId="0" ref="P63">
      <text>
        <t xml:space="preserve">Not separately modelled after 2031. The consolidated transition contains the earnings and cost assumptions for 2032–2036.</t>
      </text>
    </comment>
    <comment authorId="0" ref="L55">
      <text>
        <t xml:space="preserve">Not separately modelled after 2031. The consolidated transition contains the earnings and cost assumptions for 2032–2036.</t>
      </text>
    </comment>
    <comment authorId="0" ref="L22">
      <text>
        <t xml:space="preserve">Not separately modelled after 2031. The consolidated transition contains the earnings and cost assumptions for 2032–2036.</t>
      </text>
    </comment>
    <comment authorId="0" ref="M55">
      <text>
        <t xml:space="preserve">Not separately modelled after 2031. The consolidated transition contains the earnings and cost assumptions for 2032–2036.</t>
      </text>
    </comment>
    <comment authorId="0" ref="M22">
      <text>
        <t xml:space="preserve">Not separately modelled after 2031. The consolidated transition contains the earnings and cost assumptions for 2032–2036.</t>
      </text>
    </comment>
    <comment authorId="0" ref="N55">
      <text>
        <t xml:space="preserve">Not separately modelled after 2031. The consolidated transition contains the earnings and cost assumptions for 2032–2036.</t>
      </text>
    </comment>
    <comment authorId="0" ref="N22">
      <text>
        <t xml:space="preserve">Not separately modelled after 2031. The consolidated transition contains the earnings and cost assumptions for 2032–2036.</t>
      </text>
    </comment>
    <comment authorId="0" ref="O55">
      <text>
        <t xml:space="preserve">Not separately modelled after 2031. The consolidated transition contains the earnings and cost assumptions for 2032–2036.</t>
      </text>
    </comment>
    <comment authorId="0" ref="O22">
      <text>
        <t xml:space="preserve">Not separately modelled after 2031. The consolidated transition contains the earnings and cost assumptions for 2032–2036.</t>
      </text>
    </comment>
    <comment authorId="0" ref="P55">
      <text>
        <t xml:space="preserve">Not separately modelled after 2031. The consolidated transition contains the earnings and cost assumptions for 2032–2036.</t>
      </text>
    </comment>
    <comment authorId="0" ref="P22">
      <text>
        <t xml:space="preserve">Not separately modelled after 2031. The consolidated transition contains the earnings and cost assumptions for 2032–2036.</t>
      </text>
    </comment>
    <comment authorId="0" ref="L47">
      <text>
        <t xml:space="preserve">Not separately modelled after 2031. The consolidated transition contains the earnings and cost assumptions for 2032–2036.</t>
      </text>
    </comment>
    <comment authorId="0" ref="L14">
      <text>
        <t xml:space="preserve">Not separately modelled after 2031. The consolidated transition contains the earnings and cost assumptions for 2032–2036.</t>
      </text>
    </comment>
    <comment authorId="0" ref="M47">
      <text>
        <t xml:space="preserve">Not separately modelled after 2031. The consolidated transition contains the earnings and cost assumptions for 2032–2036.</t>
      </text>
    </comment>
    <comment authorId="0" ref="M14">
      <text>
        <t xml:space="preserve">Not separately modelled after 2031. The consolidated transition contains the earnings and cost assumptions for 2032–2036.</t>
      </text>
    </comment>
    <comment authorId="0" ref="N47">
      <text>
        <t xml:space="preserve">Not separately modelled after 2031. The consolidated transition contains the earnings and cost assumptions for 2032–2036.</t>
      </text>
    </comment>
    <comment authorId="0" ref="N14">
      <text>
        <t xml:space="preserve">Not separately modelled after 2031. The consolidated transition contains the earnings and cost assumptions for 2032–2036.</t>
      </text>
    </comment>
    <comment authorId="0" ref="O47">
      <text>
        <t xml:space="preserve">Not separately modelled after 2031. The consolidated transition contains the earnings and cost assumptions for 2032–2036.</t>
      </text>
    </comment>
    <comment authorId="0" ref="O14">
      <text>
        <t xml:space="preserve">Not separately modelled after 2031. The consolidated transition contains the earnings and cost assumptions for 2032–2036.</t>
      </text>
    </comment>
    <comment authorId="0" ref="P47">
      <text>
        <t xml:space="preserve">Not separately modelled after 2031. The consolidated transition contains the earnings and cost assumptions for 2032–2036.</t>
      </text>
    </comment>
    <comment authorId="0" ref="P14">
      <text>
        <t xml:space="preserve">Not separately modelled after 2031. The consolidated transition contains the earnings and cost assumptions for 2032–2036.</t>
      </text>
    </comment>
    <comment authorId="0" ref="L64">
      <text>
        <t xml:space="preserve">Not separately modelled after 2031. The consolidated transition contains the earnings and cost assumptions for 2032–2036.</t>
      </text>
    </comment>
    <comment authorId="0" ref="M64">
      <text>
        <t xml:space="preserve">Not separately modelled after 2031. The consolidated transition contains the earnings and cost assumptions for 2032–2036.</t>
      </text>
    </comment>
    <comment authorId="0" ref="N64">
      <text>
        <t xml:space="preserve">Not separately modelled after 2031. The consolidated transition contains the earnings and cost assumptions for 2032–2036.</t>
      </text>
    </comment>
    <comment authorId="0" ref="O64">
      <text>
        <t xml:space="preserve">Not separately modelled after 2031. The consolidated transition contains the earnings and cost assumptions for 2032–2036.</t>
      </text>
    </comment>
    <comment authorId="0" ref="P64">
      <text>
        <t xml:space="preserve">Not separately modelled after 2031. The consolidated transition contains the earnings and cost assumptions for 2032–2036.</t>
      </text>
    </comment>
    <comment authorId="0" ref="L56">
      <text>
        <t xml:space="preserve">Not separately modelled after 2031. The consolidated transition contains the earnings and cost assumptions for 2032–2036.</t>
      </text>
    </comment>
    <comment authorId="0" ref="L23">
      <text>
        <t xml:space="preserve">Not separately modelled after 2031. The consolidated transition contains the earnings and cost assumptions for 2032–2036.</t>
      </text>
    </comment>
    <comment authorId="0" ref="M56">
      <text>
        <t xml:space="preserve">Not separately modelled after 2031. The consolidated transition contains the earnings and cost assumptions for 2032–2036.</t>
      </text>
    </comment>
    <comment authorId="0" ref="M23">
      <text>
        <t xml:space="preserve">Not separately modelled after 2031. The consolidated transition contains the earnings and cost assumptions for 2032–2036.</t>
      </text>
    </comment>
    <comment authorId="0" ref="N56">
      <text>
        <t xml:space="preserve">Not separately modelled after 2031. The consolidated transition contains the earnings and cost assumptions for 2032–2036.</t>
      </text>
    </comment>
    <comment authorId="0" ref="N23">
      <text>
        <t xml:space="preserve">Not separately modelled after 2031. The consolidated transition contains the earnings and cost assumptions for 2032–2036.</t>
      </text>
    </comment>
    <comment authorId="0" ref="O56">
      <text>
        <t xml:space="preserve">Not separately modelled after 2031. The consolidated transition contains the earnings and cost assumptions for 2032–2036.</t>
      </text>
    </comment>
    <comment authorId="0" ref="O23">
      <text>
        <t xml:space="preserve">Not separately modelled after 2031. The consolidated transition contains the earnings and cost assumptions for 2032–2036.</t>
      </text>
    </comment>
    <comment authorId="0" ref="P56">
      <text>
        <t xml:space="preserve">Not separately modelled after 2031. The consolidated transition contains the earnings and cost assumptions for 2032–2036.</t>
      </text>
    </comment>
    <comment authorId="0" ref="P23">
      <text>
        <t xml:space="preserve">Not separately modelled after 2031. The consolidated transition contains the earnings and cost assumptions for 2032–2036.</t>
      </text>
    </comment>
    <comment authorId="0" ref="L48">
      <text>
        <t xml:space="preserve">Not separately modelled after 2031. The consolidated transition contains the earnings and cost assumptions for 2032–2036.</t>
      </text>
    </comment>
    <comment authorId="0" ref="L15">
      <text>
        <t xml:space="preserve">Not separately modelled after 2031. The consolidated transition contains the earnings and cost assumptions for 2032–2036.</t>
      </text>
    </comment>
    <comment authorId="0" ref="M48">
      <text>
        <t xml:space="preserve">Not separately modelled after 2031. The consolidated transition contains the earnings and cost assumptions for 2032–2036.</t>
      </text>
    </comment>
    <comment authorId="0" ref="M15">
      <text>
        <t xml:space="preserve">Not separately modelled after 2031. The consolidated transition contains the earnings and cost assumptions for 2032–2036.</t>
      </text>
    </comment>
    <comment authorId="0" ref="N48">
      <text>
        <t xml:space="preserve">Not separately modelled after 2031. The consolidated transition contains the earnings and cost assumptions for 2032–2036.</t>
      </text>
    </comment>
    <comment authorId="0" ref="N15">
      <text>
        <t xml:space="preserve">Not separately modelled after 2031. The consolidated transition contains the earnings and cost assumptions for 2032–2036.</t>
      </text>
    </comment>
    <comment authorId="0" ref="O48">
      <text>
        <t xml:space="preserve">Not separately modelled after 2031. The consolidated transition contains the earnings and cost assumptions for 2032–2036.</t>
      </text>
    </comment>
    <comment authorId="0" ref="O15">
      <text>
        <t xml:space="preserve">Not separately modelled after 2031. The consolidated transition contains the earnings and cost assumptions for 2032–2036.</t>
      </text>
    </comment>
    <comment authorId="0" ref="P48">
      <text>
        <t xml:space="preserve">Not separately modelled after 2031. The consolidated transition contains the earnings and cost assumptions for 2032–2036.</t>
      </text>
    </comment>
    <comment authorId="0" ref="P15">
      <text>
        <t xml:space="preserve">Not separately modelled after 2031. The consolidated transition contains the earnings and cost assumptions for 2032–2036.</t>
      </text>
    </comment>
    <comment authorId="0" ref="L57">
      <text>
        <t xml:space="preserve">Not separately modelled after 2031. The consolidated transition contains the earnings and cost assumptions for 2032–2036.</t>
      </text>
    </comment>
    <comment authorId="0" ref="L24">
      <text>
        <t xml:space="preserve">Not separately modelled after 2031. The consolidated transition contains the earnings and cost assumptions for 2032–2036.</t>
      </text>
    </comment>
    <comment authorId="0" ref="M57">
      <text>
        <t xml:space="preserve">Not separately modelled after 2031. The consolidated transition contains the earnings and cost assumptions for 2032–2036.</t>
      </text>
    </comment>
    <comment authorId="0" ref="M24">
      <text>
        <t xml:space="preserve">Not separately modelled after 2031. The consolidated transition contains the earnings and cost assumptions for 2032–2036.</t>
      </text>
    </comment>
    <comment authorId="0" ref="N57">
      <text>
        <t xml:space="preserve">Not separately modelled after 2031. The consolidated transition contains the earnings and cost assumptions for 2032–2036.</t>
      </text>
    </comment>
    <comment authorId="0" ref="N24">
      <text>
        <t xml:space="preserve">Not separately modelled after 2031. The consolidated transition contains the earnings and cost assumptions for 2032–2036.</t>
      </text>
    </comment>
    <comment authorId="0" ref="O57">
      <text>
        <t xml:space="preserve">Not separately modelled after 2031. The consolidated transition contains the earnings and cost assumptions for 2032–2036.</t>
      </text>
    </comment>
    <comment authorId="0" ref="O24">
      <text>
        <t xml:space="preserve">Not separately modelled after 2031. The consolidated transition contains the earnings and cost assumptions for 2032–2036.</t>
      </text>
    </comment>
    <comment authorId="0" ref="P57">
      <text>
        <t xml:space="preserve">Not separately modelled after 2031. The consolidated transition contains the earnings and cost assumptions for 2032–2036.</t>
      </text>
    </comment>
    <comment authorId="0" ref="P24">
      <text>
        <t xml:space="preserve">Not separately modelled after 2031. The consolidated transition contains the earnings and cost assumptions for 2032–2036.</t>
      </text>
    </comment>
    <comment authorId="0" ref="L49">
      <text>
        <t xml:space="preserve">Not separately modelled after 2031. The consolidated transition contains the earnings and cost assumptions for 2032–2036.</t>
      </text>
    </comment>
    <comment authorId="0" ref="M49">
      <text>
        <t xml:space="preserve">Not separately modelled after 2031. The consolidated transition contains the earnings and cost assumptions for 2032–2036.</t>
      </text>
    </comment>
    <comment authorId="0" ref="N49">
      <text>
        <t xml:space="preserve">Not separately modelled after 2031. The consolidated transition contains the earnings and cost assumptions for 2032–2036.</t>
      </text>
    </comment>
    <comment authorId="0" ref="O49">
      <text>
        <t xml:space="preserve">Not separately modelled after 2031. The consolidated transition contains the earnings and cost assumptions for 2032–2036.</t>
      </text>
    </comment>
    <comment authorId="0" ref="P49">
      <text>
        <t xml:space="preserve">Not separately modelled after 2031. The consolidated transition contains the earnings and cost assumptions for 2032–2036.</t>
      </text>
    </comment>
    <comment authorId="0" ref="L8">
      <text>
        <t xml:space="preserve">Not separately modelled after 2031. The consolidated transition contains the earnings and cost assumptions for 2032–2036.</t>
      </text>
    </comment>
    <comment authorId="0" ref="M8">
      <text>
        <t xml:space="preserve">Not separately modelled after 2031. The consolidated transition contains the earnings and cost assumptions for 2032–2036.</t>
      </text>
    </comment>
    <comment authorId="0" ref="N8">
      <text>
        <t xml:space="preserve">Not separately modelled after 2031. The consolidated transition contains the earnings and cost assumptions for 2032–2036.</t>
      </text>
    </comment>
    <comment authorId="0" ref="O8">
      <text>
        <t xml:space="preserve">Not separately modelled after 2031. The consolidated transition contains the earnings and cost assumptions for 2032–2036.</t>
      </text>
    </comment>
    <comment authorId="0" ref="P8">
      <text>
        <t xml:space="preserve">Not separately modelled after 2031. The consolidated transition contains the earnings and cost assumptions for 2032–2036.</t>
      </text>
    </comment>
    <comment authorId="0" ref="L58">
      <text>
        <t xml:space="preserve">Not separately modelled after 2031. The consolidated transition contains the earnings and cost assumptions for 2032–2036.</t>
      </text>
    </comment>
    <comment authorId="0" ref="L25">
      <text>
        <t xml:space="preserve">Not separately modelled after 2031. The consolidated transition contains the earnings and cost assumptions for 2032–2036.</t>
      </text>
    </comment>
    <comment authorId="0" ref="M58">
      <text>
        <t xml:space="preserve">Not separately modelled after 2031. The consolidated transition contains the earnings and cost assumptions for 2032–2036.</t>
      </text>
    </comment>
    <comment authorId="0" ref="M25">
      <text>
        <t xml:space="preserve">Not separately modelled after 2031. The consolidated transition contains the earnings and cost assumptions for 2032–2036.</t>
      </text>
    </comment>
    <comment authorId="0" ref="N58">
      <text>
        <t xml:space="preserve">Not separately modelled after 2031. The consolidated transition contains the earnings and cost assumptions for 2032–2036.</t>
      </text>
    </comment>
    <comment authorId="0" ref="N25">
      <text>
        <t xml:space="preserve">Not separately modelled after 2031. The consolidated transition contains the earnings and cost assumptions for 2032–2036.</t>
      </text>
    </comment>
    <comment authorId="0" ref="O58">
      <text>
        <t xml:space="preserve">Not separately modelled after 2031. The consolidated transition contains the earnings and cost assumptions for 2032–2036.</t>
      </text>
    </comment>
    <comment authorId="0" ref="O25">
      <text>
        <t xml:space="preserve">Not separately modelled after 2031. The consolidated transition contains the earnings and cost assumptions for 2032–2036.</t>
      </text>
    </comment>
    <comment authorId="0" ref="P58">
      <text>
        <t xml:space="preserve">Not separately modelled after 2031. The consolidated transition contains the earnings and cost assumptions for 2032–2036.</t>
      </text>
    </comment>
    <comment authorId="0" ref="P25">
      <text>
        <t xml:space="preserve">Not separately modelled after 2031. The consolidated transition contains the earnings and cost assumptions for 2032–2036.</t>
      </text>
    </comment>
    <comment authorId="0" ref="L50">
      <text>
        <t xml:space="preserve">Not separately modelled after 2031. The consolidated transition contains the earnings and cost assumptions for 2032–2036.</t>
      </text>
    </comment>
    <comment authorId="0" ref="M50">
      <text>
        <t xml:space="preserve">Not separately modelled after 2031. The consolidated transition contains the earnings and cost assumptions for 2032–2036.</t>
      </text>
    </comment>
    <comment authorId="0" ref="N50">
      <text>
        <t xml:space="preserve">Not separately modelled after 2031. The consolidated transition contains the earnings and cost assumptions for 2032–2036.</t>
      </text>
    </comment>
    <comment authorId="0" ref="O50">
      <text>
        <t xml:space="preserve">Not separately modelled after 2031. The consolidated transition contains the earnings and cost assumptions for 2032–2036.</t>
      </text>
    </comment>
    <comment authorId="0" ref="P50">
      <text>
        <t xml:space="preserve">Not separately modelled after 2031. The consolidated transition contains the earnings and cost assumptions for 2032–2036.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9">
      <text>
        <t xml:space="preserve">Presentation breakdown at the 2031 component/revenue ratio; reconciles to the existing consolidated transition working-capital total.</t>
      </text>
    </comment>
    <comment authorId="0" ref="L9">
      <text>
        <t xml:space="preserve">Presentation breakdown at the 2031 component/revenue ratio; reconciles to the existing consolidated transition working-capital total.</t>
      </text>
    </comment>
    <comment authorId="0" ref="M9">
      <text>
        <t xml:space="preserve">Presentation breakdown at the 2031 component/revenue ratio; reconciles to the existing consolidated transition working-capital total.</t>
      </text>
    </comment>
    <comment authorId="0" ref="N9">
      <text>
        <t xml:space="preserve">Presentation breakdown at the 2031 component/revenue ratio; reconciles to the existing consolidated transition working-capital total.</t>
      </text>
    </comment>
    <comment authorId="0" ref="O9">
      <text>
        <t xml:space="preserve">Presentation breakdown at the 2031 component/revenue ratio; reconciles to the existing consolidated transition working-capital total.</t>
      </text>
    </comment>
    <comment authorId="0" ref="K30">
      <text>
        <t xml:space="preserve">Historical adjustment or reported-balance reconciliation; forecast uses the adjusted operating components directly.</t>
      </text>
    </comment>
    <comment authorId="0" ref="L30">
      <text>
        <t xml:space="preserve">Historical adjustment or reported-balance reconciliation; forecast uses the adjusted operating components directly.</t>
      </text>
    </comment>
    <comment authorId="0" ref="M30">
      <text>
        <t xml:space="preserve">Historical adjustment or reported-balance reconciliation; forecast uses the adjusted operating components directly.</t>
      </text>
    </comment>
    <comment authorId="0" ref="N30">
      <text>
        <t xml:space="preserve">Historical adjustment or reported-balance reconciliation; forecast uses the adjusted operating components directly.</t>
      </text>
    </comment>
    <comment authorId="0" ref="K26">
      <text>
        <t xml:space="preserve">Presentation breakdown at the 2031 component/revenue ratio; reconciles to the existing consolidated transition working-capital total.</t>
      </text>
    </comment>
    <comment authorId="0" ref="O30">
      <text>
        <t xml:space="preserve">Historical adjustment or reported-balance reconciliation; forecast uses the adjusted operating components directly.</t>
      </text>
    </comment>
    <comment authorId="0" ref="L26">
      <text>
        <t xml:space="preserve">Presentation breakdown at the 2031 component/revenue ratio; reconciles to the existing consolidated transition working-capital total.</t>
      </text>
    </comment>
    <comment authorId="0" ref="M26">
      <text>
        <t xml:space="preserve">Presentation breakdown at the 2031 component/revenue ratio; reconciles to the existing consolidated transition working-capital total.</t>
      </text>
    </comment>
    <comment authorId="0" ref="N26">
      <text>
        <t xml:space="preserve">Presentation breakdown at the 2031 component/revenue ratio; reconciles to the existing consolidated transition working-capital total.</t>
      </text>
    </comment>
    <comment authorId="0" ref="K22">
      <text>
        <t xml:space="preserve">Historical adjustment or reported-balance reconciliation; forecast uses the adjusted operating components directly.</t>
      </text>
    </comment>
    <comment authorId="0" ref="O26">
      <text>
        <t xml:space="preserve">Presentation breakdown at the 2031 component/revenue ratio; reconciles to the existing consolidated transition working-capital total.</t>
      </text>
    </comment>
    <comment authorId="0" ref="L22">
      <text>
        <t xml:space="preserve">Historical adjustment or reported-balance reconciliation; forecast uses the adjusted operating components directly.</t>
      </text>
    </comment>
    <comment authorId="0" ref="M22">
      <text>
        <t xml:space="preserve">Historical adjustment or reported-balance reconciliation; forecast uses the adjusted operating components directly.</t>
      </text>
    </comment>
    <comment authorId="0" ref="N22">
      <text>
        <t xml:space="preserve">Historical adjustment or reported-balance reconciliation; forecast uses the adjusted operating components directly.</t>
      </text>
    </comment>
    <comment authorId="0" ref="K18">
      <text>
        <t xml:space="preserve">Presentation breakdown at the 2031 component/revenue ratio; reconciles to the existing consolidated transition working-capital total.</t>
      </text>
    </comment>
    <comment authorId="0" ref="O22">
      <text>
        <t xml:space="preserve">Historical adjustment or reported-balance reconciliation; forecast uses the adjusted operating components directly.</t>
      </text>
    </comment>
    <comment authorId="0" ref="L18">
      <text>
        <t xml:space="preserve">Presentation breakdown at the 2031 component/revenue ratio; reconciles to the existing consolidated transition working-capital total.</t>
      </text>
    </comment>
    <comment authorId="0" ref="M18">
      <text>
        <t xml:space="preserve">Presentation breakdown at the 2031 component/revenue ratio; reconciles to the existing consolidated transition working-capital total.</t>
      </text>
    </comment>
    <comment authorId="0" ref="N18">
      <text>
        <t xml:space="preserve">Presentation breakdown at the 2031 component/revenue ratio; reconciles to the existing consolidated transition working-capital total.</t>
      </text>
    </comment>
    <comment authorId="0" ref="O18">
      <text>
        <t xml:space="preserve">Presentation breakdown at the 2031 component/revenue ratio; reconciles to the existing consolidated transition working-capital total.</t>
      </text>
    </comment>
    <comment authorId="0" ref="K10">
      <text>
        <t xml:space="preserve">Presentation breakdown at the 2031 component/revenue ratio; reconciles to the existing consolidated transition working-capital total.</t>
      </text>
    </comment>
    <comment authorId="0" ref="L10">
      <text>
        <t xml:space="preserve">Presentation breakdown at the 2031 component/revenue ratio; reconciles to the existing consolidated transition working-capital total.</t>
      </text>
    </comment>
    <comment authorId="0" ref="M10">
      <text>
        <t xml:space="preserve">Presentation breakdown at the 2031 component/revenue ratio; reconciles to the existing consolidated transition working-capital total.</t>
      </text>
    </comment>
    <comment authorId="0" ref="N10">
      <text>
        <t xml:space="preserve">Presentation breakdown at the 2031 component/revenue ratio; reconciles to the existing consolidated transition working-capital total.</t>
      </text>
    </comment>
    <comment authorId="0" ref="O10">
      <text>
        <t xml:space="preserve">Presentation breakdown at the 2031 component/revenue ratio; reconciles to the existing consolidated transition working-capital total.</t>
      </text>
    </comment>
    <comment authorId="0" ref="K31">
      <text>
        <t xml:space="preserve">Historical adjustment or reported-balance reconciliation; forecast uses the adjusted operating components directly.</t>
      </text>
    </comment>
    <comment authorId="0" ref="L31">
      <text>
        <t xml:space="preserve">Historical adjustment or reported-balance reconciliation; forecast uses the adjusted operating components directly.</t>
      </text>
    </comment>
    <comment authorId="0" ref="M31">
      <text>
        <t xml:space="preserve">Historical adjustment or reported-balance reconciliation; forecast uses the adjusted operating components directly.</t>
      </text>
    </comment>
    <comment authorId="0" ref="N31">
      <text>
        <t xml:space="preserve">Historical adjustment or reported-balance reconciliation; forecast uses the adjusted operating components directly.</t>
      </text>
    </comment>
    <comment authorId="0" ref="O31">
      <text>
        <t xml:space="preserve">Historical adjustment or reported-balance reconciliation; forecast uses the adjusted operating components directly.</t>
      </text>
    </comment>
    <comment authorId="0" ref="K23">
      <text>
        <t xml:space="preserve">Historical adjustment or reported-balance reconciliation; forecast uses the adjusted operating components directly.</t>
      </text>
    </comment>
    <comment authorId="0" ref="L23">
      <text>
        <t xml:space="preserve">Historical adjustment or reported-balance reconciliation; forecast uses the adjusted operating components directly.</t>
      </text>
    </comment>
    <comment authorId="0" ref="M23">
      <text>
        <t xml:space="preserve">Historical adjustment or reported-balance reconciliation; forecast uses the adjusted operating components directly.</t>
      </text>
    </comment>
    <comment authorId="0" ref="N23">
      <text>
        <t xml:space="preserve">Historical adjustment or reported-balance reconciliation; forecast uses the adjusted operating components directly.</t>
      </text>
    </comment>
    <comment authorId="0" ref="K19">
      <text>
        <t xml:space="preserve">Presentation breakdown at the 2031 component/revenue ratio; reconciles to the existing consolidated transition working-capital total.</t>
      </text>
    </comment>
    <comment authorId="0" ref="O23">
      <text>
        <t xml:space="preserve">Historical adjustment or reported-balance reconciliation; forecast uses the adjusted operating components directly.</t>
      </text>
    </comment>
    <comment authorId="0" ref="L19">
      <text>
        <t xml:space="preserve">Presentation breakdown at the 2031 component/revenue ratio; reconciles to the existing consolidated transition working-capital total.</t>
      </text>
    </comment>
    <comment authorId="0" ref="M19">
      <text>
        <t xml:space="preserve">Presentation breakdown at the 2031 component/revenue ratio; reconciles to the existing consolidated transition working-capital total.</t>
      </text>
    </comment>
    <comment authorId="0" ref="N19">
      <text>
        <t xml:space="preserve">Presentation breakdown at the 2031 component/revenue ratio; reconciles to the existing consolidated transition working-capital total.</t>
      </text>
    </comment>
    <comment authorId="0" ref="O19">
      <text>
        <t xml:space="preserve">Presentation breakdown at the 2031 component/revenue ratio; reconciles to the existing consolidated transition working-capital total.</t>
      </text>
    </comment>
    <comment authorId="0" ref="K11">
      <text>
        <t xml:space="preserve">Historical adjustment or reported-balance reconciliation; forecast uses the adjusted operating components directly.</t>
      </text>
    </comment>
    <comment authorId="0" ref="L11">
      <text>
        <t xml:space="preserve">Historical adjustment or reported-balance reconciliation; forecast uses the adjusted operating components directly.</t>
      </text>
    </comment>
    <comment authorId="0" ref="M11">
      <text>
        <t xml:space="preserve">Historical adjustment or reported-balance reconciliation; forecast uses the adjusted operating components directly.</t>
      </text>
    </comment>
    <comment authorId="0" ref="N11">
      <text>
        <t xml:space="preserve">Historical adjustment or reported-balance reconciliation; forecast uses the adjusted operating components directly.</t>
      </text>
    </comment>
    <comment authorId="0" ref="O11">
      <text>
        <t xml:space="preserve">Historical adjustment or reported-balance reconciliation; forecast uses the adjusted operating components directly.</t>
      </text>
    </comment>
    <comment authorId="0" ref="K32">
      <text>
        <t xml:space="preserve">Historical adjustment or reported-balance reconciliation; forecast uses the adjusted operating components directly.</t>
      </text>
    </comment>
    <comment authorId="0" ref="L32">
      <text>
        <t xml:space="preserve">Historical adjustment or reported-balance reconciliation; forecast uses the adjusted operating components directly.</t>
      </text>
    </comment>
    <comment authorId="0" ref="M32">
      <text>
        <t xml:space="preserve">Historical adjustment or reported-balance reconciliation; forecast uses the adjusted operating components directly.</t>
      </text>
    </comment>
    <comment authorId="0" ref="N32">
      <text>
        <t xml:space="preserve">Historical adjustment or reported-balance reconciliation; forecast uses the adjusted operating components directly.</t>
      </text>
    </comment>
    <comment authorId="0" ref="O32">
      <text>
        <t xml:space="preserve">Historical adjustment or reported-balance reconciliation; forecast uses the adjusted operating components directly.</t>
      </text>
    </comment>
    <comment authorId="0" ref="K24">
      <text>
        <t xml:space="preserve">Historical adjustment or reported-balance reconciliation; forecast uses the adjusted operating components directly.</t>
      </text>
    </comment>
    <comment authorId="0" ref="L24">
      <text>
        <t xml:space="preserve">Historical adjustment or reported-balance reconciliation; forecast uses the adjusted operating components directly.</t>
      </text>
    </comment>
    <comment authorId="0" ref="M24">
      <text>
        <t xml:space="preserve">Historical adjustment or reported-balance reconciliation; forecast uses the adjusted operating components directly.</t>
      </text>
    </comment>
    <comment authorId="0" ref="N24">
      <text>
        <t xml:space="preserve">Historical adjustment or reported-balance reconciliation; forecast uses the adjusted operating components directly.</t>
      </text>
    </comment>
    <comment authorId="0" ref="K20">
      <text>
        <t xml:space="preserve">Presentation breakdown at the 2031 component/revenue ratio; reconciles to the existing consolidated transition working-capital total.</t>
      </text>
    </comment>
    <comment authorId="0" ref="O24">
      <text>
        <t xml:space="preserve">Historical adjustment or reported-balance reconciliation; forecast uses the adjusted operating components directly.</t>
      </text>
    </comment>
    <comment authorId="0" ref="L20">
      <text>
        <t xml:space="preserve">Presentation breakdown at the 2031 component/revenue ratio; reconciles to the existing consolidated transition working-capital total.</t>
      </text>
    </comment>
    <comment authorId="0" ref="M20">
      <text>
        <t xml:space="preserve">Presentation breakdown at the 2031 component/revenue ratio; reconciles to the existing consolidated transition working-capital total.</t>
      </text>
    </comment>
    <comment authorId="0" ref="N20">
      <text>
        <t xml:space="preserve">Presentation breakdown at the 2031 component/revenue ratio; reconciles to the existing consolidated transition working-capital total.</t>
      </text>
    </comment>
    <comment authorId="0" ref="K16">
      <text>
        <t xml:space="preserve">Historical adjustment or reported-balance reconciliation; forecast uses the adjusted operating components directly.</t>
      </text>
    </comment>
    <comment authorId="0" ref="O20">
      <text>
        <t xml:space="preserve">Presentation breakdown at the 2031 component/revenue ratio; reconciles to the existing consolidated transition working-capital total.</t>
      </text>
    </comment>
    <comment authorId="0" ref="L16">
      <text>
        <t xml:space="preserve">Historical adjustment or reported-balance reconciliation; forecast uses the adjusted operating components directly.</t>
      </text>
    </comment>
    <comment authorId="0" ref="M16">
      <text>
        <t xml:space="preserve">Historical adjustment or reported-balance reconciliation; forecast uses the adjusted operating components directly.</t>
      </text>
    </comment>
    <comment authorId="0" ref="N16">
      <text>
        <t xml:space="preserve">Historical adjustment or reported-balance reconciliation; forecast uses the adjusted operating components directly.</t>
      </text>
    </comment>
    <comment authorId="0" ref="K12">
      <text>
        <t xml:space="preserve">Historical adjustment or reported-balance reconciliation; forecast uses the adjusted operating components directly.</t>
      </text>
    </comment>
    <comment authorId="0" ref="O16">
      <text>
        <t xml:space="preserve">Historical adjustment or reported-balance reconciliation; forecast uses the adjusted operating components directly.</t>
      </text>
    </comment>
    <comment authorId="0" ref="L12">
      <text>
        <t xml:space="preserve">Historical adjustment or reported-balance reconciliation; forecast uses the adjusted operating components directly.</t>
      </text>
    </comment>
    <comment authorId="0" ref="M12">
      <text>
        <t xml:space="preserve">Historical adjustment or reported-balance reconciliation; forecast uses the adjusted operating components directly.</t>
      </text>
    </comment>
    <comment authorId="0" ref="N12">
      <text>
        <t xml:space="preserve">Historical adjustment or reported-balance reconciliation; forecast uses the adjusted operating components directly.</t>
      </text>
    </comment>
    <comment authorId="0" ref="K8">
      <text>
        <t xml:space="preserve">Presentation breakdown at the 2031 component/revenue ratio; reconciles to the existing consolidated transition working-capital total.</t>
      </text>
    </comment>
    <comment authorId="0" ref="O12">
      <text>
        <t xml:space="preserve">Historical adjustment or reported-balance reconciliation; forecast uses the adjusted operating components directly.</t>
      </text>
    </comment>
    <comment authorId="0" ref="L8">
      <text>
        <t xml:space="preserve">Presentation breakdown at the 2031 component/revenue ratio; reconciles to the existing consolidated transition working-capital total.</t>
      </text>
    </comment>
    <comment authorId="0" ref="M8">
      <text>
        <t xml:space="preserve">Presentation breakdown at the 2031 component/revenue ratio; reconciles to the existing consolidated transition working-capital total.</t>
      </text>
    </comment>
    <comment authorId="0" ref="N8">
      <text>
        <t xml:space="preserve">Presentation breakdown at the 2031 component/revenue ratio; reconciles to the existing consolidated transition working-capital total.</t>
      </text>
    </comment>
    <comment authorId="0" ref="O8">
      <text>
        <t xml:space="preserve">Presentation breakdown at the 2031 component/revenue ratio; reconciles to the existing consolidated transition working-capital total.</t>
      </text>
    </comment>
    <comment authorId="0" ref="K25">
      <text>
        <t xml:space="preserve">Historical adjustment or reported-balance reconciliation; forecast uses the adjusted operating components directly.</t>
      </text>
    </comment>
    <comment authorId="0" ref="L25">
      <text>
        <t xml:space="preserve">Historical adjustment or reported-balance reconciliation; forecast uses the adjusted operating components directly.</t>
      </text>
    </comment>
    <comment authorId="0" ref="M25">
      <text>
        <t xml:space="preserve">Historical adjustment or reported-balance reconciliation; forecast uses the adjusted operating components directly.</t>
      </text>
    </comment>
    <comment authorId="0" ref="N25">
      <text>
        <t xml:space="preserve">Historical adjustment or reported-balance reconciliation; forecast uses the adjusted operating components directly.</t>
      </text>
    </comment>
    <comment authorId="0" ref="K21">
      <text>
        <t xml:space="preserve">Presentation breakdown at the 2031 component/revenue ratio; reconciles to the existing consolidated transition working-capital total.</t>
      </text>
    </comment>
    <comment authorId="0" ref="O25">
      <text>
        <t xml:space="preserve">Historical adjustment or reported-balance reconciliation; forecast uses the adjusted operating components directly.</t>
      </text>
    </comment>
    <comment authorId="0" ref="L21">
      <text>
        <t xml:space="preserve">Presentation breakdown at the 2031 component/revenue ratio; reconciles to the existing consolidated transition working-capital total.</t>
      </text>
    </comment>
    <comment authorId="0" ref="M21">
      <text>
        <t xml:space="preserve">Presentation breakdown at the 2031 component/revenue ratio; reconciles to the existing consolidated transition working-capital total.</t>
      </text>
    </comment>
    <comment authorId="0" ref="N21">
      <text>
        <t xml:space="preserve">Presentation breakdown at the 2031 component/revenue ratio; reconciles to the existing consolidated transition working-capital total.</t>
      </text>
    </comment>
    <comment authorId="0" ref="K17">
      <text>
        <t xml:space="preserve">Historical adjustment or reported-balance reconciliation; forecast uses the adjusted operating components directly.</t>
      </text>
    </comment>
    <comment authorId="0" ref="O21">
      <text>
        <t xml:space="preserve">Presentation breakdown at the 2031 component/revenue ratio; reconciles to the existing consolidated transition working-capital total.</t>
      </text>
    </comment>
    <comment authorId="0" ref="L17">
      <text>
        <t xml:space="preserve">Historical adjustment or reported-balance reconciliation; forecast uses the adjusted operating components directly.</t>
      </text>
    </comment>
    <comment authorId="0" ref="M17">
      <text>
        <t xml:space="preserve">Historical adjustment or reported-balance reconciliation; forecast uses the adjusted operating components directly.</t>
      </text>
    </comment>
    <comment authorId="0" ref="N17">
      <text>
        <t xml:space="preserve">Historical adjustment or reported-balance reconciliation; forecast uses the adjusted operating components directly.</t>
      </text>
    </comment>
    <comment authorId="0" ref="O17">
      <text>
        <t xml:space="preserve">Historical adjustment or reported-balance reconciliation; forecast uses the adjusted operating components directly.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2">
      <text>
        <t xml:space="preserve">Assumption: tax basis = carrying value (no gain assumed). Basis not disclosed; maximum tax at 21% would be about USD 1.5bn.</t>
      </text>
    </comment>
    <comment authorId="0" ref="C10">
      <text>
        <t xml:space="preserve">Assumption: near-zero tax basis, same as the current SpaceX holding (row 8).</t>
      </text>
    </comment>
    <comment authorId="0" ref="C9">
      <text>
        <t xml:space="preserve">Assumption: tax basis = carrying value (no gain assumed). Basis not disclosed; maximum tax at 21% would be about USD 1.5bn.</t>
      </text>
    </comment>
    <comment authorId="0" ref="C8">
      <text>
        <t xml:space="preserve">Assumption: near-zero tax basis. Google's original SpaceX investment (2015) is under 1% of the current carrying value, so the full value is treated as taxable gain at 21%.</t>
      </text>
    </comment>
    <comment authorId="0" ref="C7">
      <text>
        <t xml:space="preserve">Assumption: tax basis = fair value (no taxable gain). The matched-scope AOCI table (rows 21-23) shows a USD 145m unrealised loss, so gains on debt securities are immaterial.</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1">
      <text>
        <t xml:space="preserve">Source: Alphabet Q2 2025 Form 10-Q, accrued expenses: European Commission fines 7,099 plus 1,400 privacy settlement in other accrued. Not disclosed on the later 'fines and settlements' basis, so treat as a lower bound. https://www.sec.gov/Archives/edgar/data/1652044/000165204425000062/goog-20250630.htm</t>
      </text>
    </comment>
    <comment authorId="0" ref="G80">
      <text>
        <t xml:space="preserve">Source: Alphabet FY2025 Form 10-K, note on accrued expenses (recast 'Accrued fines and settlements'), https://www.sec.gov/Archives/edgar/data/1652044/000165204426000018/goog-20251231.htm</t>
      </text>
    </comment>
    <comment authorId="0" ref="B120">
      <text>
        <t xml:space="preserve">Alphabet Q2 2025 earnings release, consolidated income statement comparative H1 2024. https://abc.xyz/assets/cc/27/3ada14014efbadd7a58472f1f3f4/2025q2-alphabet-earnings-release.pdf</t>
      </text>
    </comment>
  </commentList>
</comments>
</file>

<file path=xl/sharedStrings.xml><?xml version="1.0" encoding="utf-8"?>
<sst xmlns="http://schemas.openxmlformats.org/spreadsheetml/2006/main" count="2196" uniqueCount="1406">
  <si>
    <t>Alphabet | valuation framework</t>
  </si>
  <si>
    <t>USD millions. Operating DCF versus adjusted market EV; aggregate equity bridge retained. No per-share inputs or outputs.</t>
  </si>
  <si>
    <t>Selected scenario</t>
  </si>
  <si>
    <t>Valuation date</t>
  </si>
  <si>
    <t>Market inputs / enterprise bridge</t>
  </si>
  <si>
    <t>Input</t>
  </si>
  <si>
    <t>Basis</t>
  </si>
  <si>
    <t>Market capitalisation</t>
  </si>
  <si>
    <t>Common equity market value at the agreed valuation date; source directly, without diluted-share multiplication.</t>
  </si>
  <si>
    <t>Unpaid legal settlement claim proxy</t>
  </si>
  <si>
    <t>June legal accrual less known July payment; provisional carrying-value proxy, separate from recurring FCFF.</t>
  </si>
  <si>
    <t>US Treasury risk-free rate</t>
  </si>
  <si>
    <t>23 October 2026 US Treasury 10-year par yield; source in Sources and basis.</t>
  </si>
  <si>
    <t>Operating-business levered beta</t>
  </si>
  <si>
    <t>Bottom-up / cash-adjusted beta research</t>
  </si>
  <si>
    <t>Implied equity risk premium</t>
  </si>
  <si>
    <t>Latest monthly ERP available at 25 October: 1 October 2026.</t>
  </si>
  <si>
    <t>Pre-tax cost of debt</t>
  </si>
  <si>
    <t>Valuation-date borrowing yield</t>
  </si>
  <si>
    <t>Debt market value, ex finance leases</t>
  </si>
  <si>
    <t>Current and long-term financing claims</t>
  </si>
  <si>
    <t>Preferred market claim</t>
  </si>
  <si>
    <t>Mandatory conversion terms; avoid adding shares and claim together</t>
  </si>
  <si>
    <t>Preferred required return</t>
  </si>
  <si>
    <t>Dividend and conversion economics</t>
  </si>
  <si>
    <t>Finance lease claim proxy</t>
  </si>
  <si>
    <t>Lease PP&amp;E is included; book value used as the market-value proxy (disclosed approximation)</t>
  </si>
  <si>
    <t>Non-controlling interest value</t>
  </si>
  <si>
    <t>Book value, deducted in full; Waymo share not disclosed (may overstate claims by up to 7,100)</t>
  </si>
  <si>
    <t>Credited excess cash</t>
  </si>
  <si>
    <t>Required operating cash excluded</t>
  </si>
  <si>
    <t>Credited marketable investments</t>
  </si>
  <si>
    <t>Liquidity restrictions and valuation uncertainty assessed</t>
  </si>
  <si>
    <t>Credited non-marketable investments</t>
  </si>
  <si>
    <t>Valuation uncertainty and taxes assessed</t>
  </si>
  <si>
    <t>Terminal growth</t>
  </si>
  <si>
    <t>Terminal return on capital</t>
  </si>
  <si>
    <t>Derived from mature pre-amortisation NOPAT / closing tangible capital, with WACC as the hurdle on new terminal projects. Existing sunk-capital returns are not uplifted.</t>
  </si>
  <si>
    <t>Baseline reviewed for valuation</t>
  </si>
  <si>
    <t>Group sign-off remains pending. Estimated June-to-October cash bridge, tax bases and book-value NCI are disclosed approximations.</t>
  </si>
  <si>
    <t>Mid-year discounting (1 = on, 0 = year-end)</t>
  </si>
  <si>
    <t>Cash flows assumed mid-period; H2 2026 stub at its midpoint; terminal value shifted once through Transition!G19.</t>
  </si>
  <si>
    <t>Cost of equity</t>
  </si>
  <si>
    <t>Market value of common equity</t>
  </si>
  <si>
    <t>Total financing value</t>
  </si>
  <si>
    <t>WACC</t>
  </si>
  <si>
    <t>Indicative estimate; see Discount rate for dated evidence and approximation choices.</t>
  </si>
  <si>
    <t>Valuation readiness</t>
  </si>
  <si>
    <t>Discounted cash flow</t>
  </si>
  <si>
    <t>H2 2026</t>
  </si>
  <si>
    <t>2027</t>
  </si>
  <si>
    <t>2028</t>
  </si>
  <si>
    <t>2029</t>
  </si>
  <si>
    <t>2030</t>
  </si>
  <si>
    <t>2031</t>
  </si>
  <si>
    <t>Cash-flow date</t>
  </si>
  <si>
    <t>Years from valuation date</t>
  </si>
  <si>
    <t>Remaining-period fraction</t>
  </si>
  <si>
    <t>Model FCFF</t>
  </si>
  <si>
    <t>Cash flow after valuation date</t>
  </si>
  <si>
    <t>Present value</t>
  </si>
  <si>
    <t>Terminal NOPAT</t>
  </si>
  <si>
    <t>Terminal reinvestment rate</t>
  </si>
  <si>
    <t>Terminal FCFF</t>
  </si>
  <si>
    <t>Terminal value</t>
  </si>
  <si>
    <t>Present value of terminal value</t>
  </si>
  <si>
    <t>Indicative operating enterprise value</t>
  </si>
  <si>
    <t>Non-operating assets credited</t>
  </si>
  <si>
    <t>Financing, minority and settlement claims</t>
  </si>
  <si>
    <t>Common equity value</t>
  </si>
  <si>
    <t>Market-implied operating EV</t>
  </si>
  <si>
    <t>Operating EV valuation gap (%)</t>
  </si>
  <si>
    <t>Operating EV surplus / (shortfall)</t>
  </si>
  <si>
    <t>June financial reference balances</t>
  </si>
  <si>
    <t>USD million</t>
  </si>
  <si>
    <t>Not automatically credited at book value</t>
  </si>
  <si>
    <t>Cash / marketable securities</t>
  </si>
  <si>
    <t>Non-marketable investments</t>
  </si>
  <si>
    <t>Debt carrying value, ex leases</t>
  </si>
  <si>
    <t>Preferred book capital</t>
  </si>
  <si>
    <t>Non-controlling interest book value</t>
  </si>
  <si>
    <t>The October bridge estimates elapsed operating cash flow and dividends, includes disclosed financing and marks quoted investments. Tax bases, debt values and NCI retain proxies. Final outputs await group sign-off.</t>
  </si>
  <si>
    <t>Explicit FCFF through 2031 is followed by the Transition schedule for 2032–2036. Terminal value starts in 2037; no per-share target is calculated.</t>
  </si>
  <si>
    <t>Operating-EV and common-equity gaps use their respective market-value denominators. Simulation inputs and Relative valuation contain the completed Monte Carlo and SOTP cross-checks.</t>
  </si>
  <si>
    <t>Investment bridge design</t>
  </si>
  <si>
    <t>Amount</t>
  </si>
  <si>
    <t>Treatment</t>
  </si>
  <si>
    <t>Taxable gain on each holding</t>
  </si>
  <si>
    <t>Use supported tax basis and tax jurisdiction; do not tax the entire holding automatically.</t>
  </si>
  <si>
    <t>Deferred tax already accounted for</t>
  </si>
  <si>
    <t>Match each tax adjustment to the equity bridge so the same tax is not deducted twice.</t>
  </si>
  <si>
    <t>Liquidity / valuation adjustment</t>
  </si>
  <si>
    <t>Apply only with a stated basis, after separating tax from marketability risk.</t>
  </si>
  <si>
    <t>Waymo funding reference</t>
  </si>
  <si>
    <t>Not added to the consolidated DCF</t>
  </si>
  <si>
    <t>February 2026 post-money equity value</t>
  </si>
  <si>
    <t>External transaction reference; financing rights and information cutoff matter.</t>
  </si>
  <si>
    <t>Funding raised</t>
  </si>
  <si>
    <t>Cash raised is not the valuation.</t>
  </si>
  <si>
    <t>Alphabet attributable ownership</t>
  </si>
  <si>
    <t>60-90%</t>
  </si>
  <si>
    <t>Not disclosed (majority investor); range used as a sensitivity in Relative valuation rows 39-40.</t>
  </si>
  <si>
    <t>Attributable equity reference</t>
  </si>
  <si>
    <t>75,600-113,400</t>
  </si>
  <si>
    <t>Post-money x ownership range; a funding price is not intrinsic value.</t>
  </si>
  <si>
    <t>SOTP treatment</t>
  </si>
  <si>
    <t>Done</t>
  </si>
  <si>
    <t>Relative valuation tab: Waymo at attributable value, all Waymo cash removed from the bridge, NCI kept in claims.</t>
  </si>
  <si>
    <t>Outstanding valuation work</t>
  </si>
  <si>
    <t>Status</t>
  </si>
  <si>
    <t>Market inputs / ERP vintage</t>
  </si>
  <si>
    <t>25 October 2026 information cutoff; 23 October closes and Treasury yield; 1 October implied ERP. Source dates and balance-sheet proxies are identified in Discount rate.</t>
  </si>
  <si>
    <t>Investment tax bases / marketability</t>
  </si>
  <si>
    <t>Done (proxies)</t>
  </si>
  <si>
    <t>Tax-basis proxies and haircuts in Financial assets; zero-basis stress shown there.</t>
  </si>
  <si>
    <t>Cloud capacity / revenue linkage</t>
  </si>
  <si>
    <t>Capacity coverage in Cloud demand rows 17-19; requirement in Assumptions row 234.</t>
  </si>
  <si>
    <t>Cash taxes / replacement calibration</t>
  </si>
  <si>
    <t>Done (normalised rate)</t>
  </si>
  <si>
    <t>18% normalised tax fading to 21%; renewal floors in Capital and FCFF (none binding).</t>
  </si>
  <si>
    <t>Monte Carlo distribution / SOTP</t>
  </si>
  <si>
    <t>Simulation inputs and Relative valuation tabs; Python replica matches Base, Bull and Bear.</t>
  </si>
  <si>
    <t>Discount-rate sensitivity | operating EV</t>
  </si>
  <si>
    <t>WACC change</t>
  </si>
  <si>
    <t>Operating EV</t>
  </si>
  <si>
    <t>Forecast cash flows and terminal operating assumptions are held fixed. This is discount-rate sensitivity, not Monte Carlo or a final investment recommendation.</t>
  </si>
  <si>
    <t>Alphabet | model assumptions</t>
  </si>
  <si>
    <t>PROVISIONAL BASELINE — editable scenarios; not a completed valuation or investment recommendation.</t>
  </si>
  <si>
    <t>Base</t>
  </si>
  <si>
    <t>Historical NOPAT tax benchmark</t>
  </si>
  <si>
    <t>Driver / scenario</t>
  </si>
  <si>
    <t>Rationale / evidence</t>
  </si>
  <si>
    <t>Search growth — active</t>
  </si>
  <si>
    <t>H2 base holds H1 YoY growth; later fade is provisional.</t>
  </si>
  <si>
    <t>Bull</t>
  </si>
  <si>
    <t>Bear</t>
  </si>
  <si>
    <t>YouTube advertising growth — active</t>
  </si>
  <si>
    <t>Advertising only; subscriptions remain within Services other revenue.</t>
  </si>
  <si>
    <t>Network growth — active</t>
  </si>
  <si>
    <t>Reflects recent contraction; scenarios are analyst inputs.</t>
  </si>
  <si>
    <t>Subscriptions / devices growth — active</t>
  </si>
  <si>
    <t>Includes subscriptions, platforms and devices.</t>
  </si>
  <si>
    <t>Cloud demand growth before backlog / delivery</t>
  </si>
  <si>
    <t>Reference demand taper; Cloud demand reconciles opening backlog, new business and delivery. Actual revenue growth is an output.</t>
  </si>
  <si>
    <t>Other Bets revenue growth — active</t>
  </si>
  <si>
    <t>Consolidated Other Bets, not a standalone Waymo valuation.</t>
  </si>
  <si>
    <t>Services reference EBIT margin — active</t>
  </si>
  <si>
    <t>Common reference margin across cases; explicit TAC and AI-cost changes drive case differences.</t>
  </si>
  <si>
    <t>Cloud reference EBIT margin — active</t>
  </si>
  <si>
    <t>Reference margin; explicit capital schedule determines consolidated D&amp;A.</t>
  </si>
  <si>
    <t>Other Bets cost growth — active</t>
  </si>
  <si>
    <t>Costs are positive loss magnitude; no speculative loss addback.</t>
  </si>
  <si>
    <t>Shared AI research cost elasticity</t>
  </si>
  <si>
    <t>Applied to planned group demand growth from 2027. Other shared costs grow at the separate inflation rate.</t>
  </si>
  <si>
    <t>Cash CapEx / revenue — active</t>
  </si>
  <si>
    <t>H2 uses annual guidance less H1 actual. Later intensity is provisional; replacement floor applies.</t>
  </si>
  <si>
    <t/>
  </si>
  <si>
    <t>Annual deployment rate — active</t>
  </si>
  <si>
    <t>Fraction commissioned from opening CIP plus half-period spend; applied pro rata in H2. Calibration on this convention (transfers = opening assets not in service + cash CapEx - closing): 60.4% in 2024, 65.9% in 2025, 61.2% in H1 2026 (10-K FY2024/FY2025, Q2 2026 10-Q PP&amp;E notes).</t>
  </si>
  <si>
    <t>New hardware economic life — active</t>
  </si>
  <si>
    <t>Economic replacement scenarios. Does not claim a change to reported historical depreciation.</t>
  </si>
  <si>
    <t>Hardware share of commissioned assets — active</t>
  </si>
  <si>
    <t>Provisional allocation; net asset/cohort mix is not publicly disclosed.</t>
  </si>
  <si>
    <t>Forecast operating tax rate — active</t>
  </si>
  <si>
    <t>Recurring operating rate from the FY2025 rate reconciliation: 16.8% reported, excluding unrecognised-tax-benefit releases (-0.7pp) and other US adjustments (-0.6pp). Fades to the 21% marginal rate (B149) over 2032-2036. Accelerated tax depreciation on CapEx would lower cash taxes further; not modelled.</t>
  </si>
  <si>
    <t>Working-capital method</t>
  </si>
  <si>
    <t>Component schedule in Working capital; active assumptions at rows 103–141.</t>
  </si>
  <si>
    <t>Opening asset assumptions</t>
  </si>
  <si>
    <t>Value</t>
  </si>
  <si>
    <t>Hardware share of opening in-service net PP&amp;E</t>
  </si>
  <si>
    <t>Provisional allocation; not a reported segment asset split.</t>
  </si>
  <si>
    <t>Remaining life of opening hardware</t>
  </si>
  <si>
    <t>Years; existing net book value runs off over this period.</t>
  </si>
  <si>
    <t>Remaining life of other opening productive PP&amp;E</t>
  </si>
  <si>
    <t>Years; provisional blended buildings/other assets.</t>
  </si>
  <si>
    <t>Useful life of new non-hardware assets</t>
  </si>
  <si>
    <t>Years; blended long-lived pool; separate land/buildings refinement remains.</t>
  </si>
  <si>
    <t>H2 2026 CapEx budget</t>
  </si>
  <si>
    <t>Annual guidance midpoint less H1 actual cash CapEx.</t>
  </si>
  <si>
    <t>2031 intangible amortisation assumption</t>
  </si>
  <si>
    <t>Not individually disclosed: capped carry-forward of 2030 schedule; provisional.</t>
  </si>
  <si>
    <t>Reference D&amp;A / revenue</t>
  </si>
  <si>
    <t>Removes H1 D&amp;A burden from reference segment earnings before modelled D&amp;A.</t>
  </si>
  <si>
    <t>Modelling status</t>
  </si>
  <si>
    <t>Provisional</t>
  </si>
  <si>
    <t>Backlog timing, capacity sensitivity, customer-funding exposure, asset mix and cash taxes remain provisional.</t>
  </si>
  <si>
    <t>Source and calibration: historical links refer to Historical base; guidance and intangible schedule refer to Sources and basis.</t>
  </si>
  <si>
    <t>Hardware life changes both depreciation and the replacement-spending floor. Deployment affects commissioning; revenue scenarios must be reviewed jointly.</t>
  </si>
  <si>
    <t>Receivable days — active</t>
  </si>
  <si>
    <t>June receivables / TTM sales × 365; unchanged collection speed until stronger evidence.</t>
  </si>
  <si>
    <t>Inventory / revenue — active</t>
  </si>
  <si>
    <t>Normalises toward the reclassified FY2025 inventory/revenue ratio (0.61%), not zero. Timing remains a scenario assumption; TPU sales may raise the sustainable requirement.</t>
  </si>
  <si>
    <t>Other operating assets / revenue — active</t>
  </si>
  <si>
    <t>June / TTM calibration; residual disclosures and acquisition effects limit precision.</t>
  </si>
  <si>
    <t>Operating supplier payables / revenue — active</t>
  </si>
  <si>
    <t>Compensation accrual / revenue — active</t>
  </si>
  <si>
    <t>Revenue-share accrual / revenue — active</t>
  </si>
  <si>
    <t>Deferred revenue / revenue — active</t>
  </si>
  <si>
    <t>Other operating accruals / revenue — active</t>
  </si>
  <si>
    <t>Terminal transition</t>
  </si>
  <si>
    <t>Transition duration (years)</t>
  </si>
  <si>
    <t>2032–2036 fade after explicit forecast; no single-year terminal reset.</t>
  </si>
  <si>
    <t>Terminal margin override</t>
  </si>
  <si>
    <t>Blank: operating margin follows 2031 pre-depreciation profitability less actual cohort depreciation and finite amortisation. Optional override stresses the 2036 pre-amortisation margin.</t>
  </si>
  <si>
    <t>Terminal operating tax rate</t>
  </si>
  <si>
    <t>Provisional benchmark; no automatic cash-tax benefit from accounting depreciation.</t>
  </si>
  <si>
    <t>TAC rate change vs. reference — active</t>
  </si>
  <si>
    <t>Percentage-point change on advertising revenue. Illustrative stress; base retains embedded reference TAC.</t>
  </si>
  <si>
    <t>AI serving-cost change — derived in forecast</t>
  </si>
  <si>
    <t>Replaced by the linked unit-cost and workload assumptions below; see Operating forecast.</t>
  </si>
  <si>
    <t>Unit-cost and workload scenarios are controlled at rows 207–217.</t>
  </si>
  <si>
    <t>Cloud delivery, financing and mature returns</t>
  </si>
  <si>
    <t>Opening Cloud backlog recognition shares</t>
  </si>
  <si>
    <t>Analyst profile. Periods: H2 2026, then FY2027–2031. Tail maturity is not disclosed.</t>
  </si>
  <si>
    <t>Opening backlog share in H1 2028</t>
  </si>
  <si>
    <t>H2 2026 + 2027 + H1 2028 = 51%; applies group timing as a Cloud proxy.</t>
  </si>
  <si>
    <t>Reference 24-month recognition</t>
  </si>
  <si>
    <t>Numeric interpretation of 'just over 50%'; not exact company guidance.</t>
  </si>
  <si>
    <t>Historical commissioning rate (terminal normalisation)</t>
  </si>
  <si>
    <t>Historical proxy from cash CapEx and construction-balance changes (row 62 note). Sets the normal construction-in-progress level used to normalise depreciation before the terminal period (Transition rows 46–52). Delivery now uses capacity coverage (row 234).</t>
  </si>
  <si>
    <t>Minimum revenue outside opening backlog</t>
  </si>
  <si>
    <t>Illustrative share for new contracts, renewals and usage outside June backlog; not a disclosed split.</t>
  </si>
  <si>
    <t>Financing-sensitive exposure share</t>
  </si>
  <si>
    <t>Illustrative stress exposure, not a disclosed customer or backlog concentration.</t>
  </si>
  <si>
    <t>Deferral on exposed backlog</t>
  </si>
  <si>
    <t>Defers recognition of the exposed portion; no cancellation or lifetime haircut assumed.</t>
  </si>
  <si>
    <t>New-business pressure on exposed share</t>
  </si>
  <si>
    <t>Lower new contracting/usage associated with customer funding constraints.</t>
  </si>
  <si>
    <t>Delivery-sensitive revenue share</t>
  </si>
  <si>
    <t>Half of scheduled demand responds to relative commissioning; proxy pending workload/capacity disclosure.</t>
  </si>
  <si>
    <t>2036 capital intensity / capacity benchmark</t>
  </si>
  <si>
    <t>Judgement: Base uses the explicit demand-capacity benchmark; Bull needs 10% less productive capital per revenue, Bear 10% more. Transition fades from actual 2031 assets. It does not recalibrate capacity needs downward after underbuilding.</t>
  </si>
  <si>
    <t>Terminal revenue growth</t>
  </si>
  <si>
    <t>Nominal long-run scenario assumptions. Growth taper reflects maturity, not a backlog expiry date.</t>
  </si>
  <si>
    <t>Private-investment valuation haircut</t>
  </si>
  <si>
    <t>Joint financing-risk sensitivity; not a claim about observed portfolio impairment.</t>
  </si>
  <si>
    <t>Annual inference unit-cost improvement</t>
  </si>
  <si>
    <t>Illustrative efficiency scenarios. Excludes D&amp;A and shared model-training/research expense.</t>
  </si>
  <si>
    <t>AI workload intensity growth</t>
  </si>
  <si>
    <t>AI serving workload per dollar of Services revenue; captures adoption/complexity outrunning monetisation.</t>
  </si>
  <si>
    <t>Reference AI serving expense / Services sales</t>
  </si>
  <si>
    <t>Illustrative exposure used to translate unit economics into a margin sensitivity; not reported cost per query.</t>
  </si>
  <si>
    <t>AI research share of shared costs</t>
  </si>
  <si>
    <t>Analyst split of Alphabet-level expense; no separately reported training-cost series.</t>
  </si>
  <si>
    <t>Other shared-cost annual growth</t>
  </si>
  <si>
    <t>Nominal cost inflation assumption.</t>
  </si>
  <si>
    <t>H2 research cost growth vs H1</t>
  </si>
  <si>
    <t>Sequential half-year stress on shared AI research. Thereafter research scales with planned demand and elasticity.</t>
  </si>
  <si>
    <t>Network TAC differential sensitivity</t>
  </si>
  <si>
    <t>Assumed 40pp Network-versus-other-advertising cost differential; calibrates mix effects, not a disclosed rate.</t>
  </si>
  <si>
    <t>Conditional funding draw probability</t>
  </si>
  <si>
    <t>Scenario cash requirement only. Gross funding is not automatically a valuation loss: acquired rights and derivative liabilities require reconciliation.</t>
  </si>
  <si>
    <t>Capacity requirement: in-service PP&amp;E per dollar of annualised group demand</t>
  </si>
  <si>
    <t>Calibrated so the Base build just covers Base demand (average in-service PP&amp;E / annualised planned demand, rounded down). It embeds the Base investment requirement rather than validating it; net book PP&amp;E is a proxy for computing capacity, not physical capacity. Sensitivity: requirement +10% → operating EV −51bn (−25bn to −76bn as the delivery-sensitive share moves 25%–75%); +20% → −92bn; lower requirements do not bind.</t>
  </si>
  <si>
    <t>Acquired-intangible runoff and cash-tax sensitivity</t>
  </si>
  <si>
    <t>Unallocated amortisation after 2031</t>
  </si>
  <si>
    <t>Disclosed USD 3,550m after 2030 less the retained USD 1,055m 2031 estimate.</t>
  </si>
  <si>
    <t>Residual runoff years from 2032</t>
  </si>
  <si>
    <t>Analyst allocation across 2032–2036; not company year-by-year guidance. Existing asset lives are generally 1–10 years (Q2 2026 Note 1).</t>
  </si>
  <si>
    <t>Book amortisation tax-deductible share</t>
  </si>
  <si>
    <t>0% Base: no unverified acquired-intangible cash-tax deduction. 100% sensitivity approximates book amortisation as deductible; not a claim about tax basis.</t>
  </si>
  <si>
    <t>Alphabet | discount rate and financing claims</t>
  </si>
  <si>
    <t>USD millions except prices, percentages and ratios. Valuation/information cutoff: 25 October 2026; market closes: 23 October. June balance-sheet proxies and subsequent-event estimates are identified.</t>
  </si>
  <si>
    <t>Selected case</t>
  </si>
  <si>
    <t>Market input</t>
  </si>
  <si>
    <t>Basis / source</t>
  </si>
  <si>
    <t>Common-equity market capitalisation</t>
  </si>
  <si>
    <t>23 October 2026 group market capitalisation, rounded USDm. https://ycharts.com/companies/GOOGL/market_cap</t>
  </si>
  <si>
    <t>US Treasury yield</t>
  </si>
  <si>
    <t>23 October 2026 US Treasury 10-year par yield: 5.00%. Treasury-based ERP convention.</t>
  </si>
  <si>
    <t>Damodaran implied ERP</t>
  </si>
  <si>
    <t>1 October 2026 implied ERP, trailing-12-month adjusted payout, Treasury convention: 4.20%. https://pages.stern.nyu.edu/adamodar/New_Home_Page/home.htm</t>
  </si>
  <si>
    <t>Operating beta build</t>
  </si>
  <si>
    <t>TTM revenue</t>
  </si>
  <si>
    <t>Revenue weight</t>
  </si>
  <si>
    <t>Cash-adjusted unlevered beta</t>
  </si>
  <si>
    <t>Google Services</t>
  </si>
  <si>
    <t>Advertising industry proxy; January 2026 US sector data.</t>
  </si>
  <si>
    <t>Google Cloud</t>
  </si>
  <si>
    <t>System &amp; application software proxy; infrastructure exposure warrants sensitivity.</t>
  </si>
  <si>
    <t>Other Bets</t>
  </si>
  <si>
    <t>Internet software proxy; small revenue weight understates early-stage option value. Review through SOTP.</t>
  </si>
  <si>
    <t>Weighted operating beta</t>
  </si>
  <si>
    <t>Revenue weighting is a provisional substitute for business-value weights; not a regression estimate.</t>
  </si>
  <si>
    <t>Operating levered beta</t>
  </si>
  <si>
    <t>Relever using market debt/common equity. Portfolio leverage approximation; test against alternate peer weights.</t>
  </si>
  <si>
    <t>Cost of common equity</t>
  </si>
  <si>
    <t>CAPM; https://pages.stern.nyu.edu/adamodar/New_Home_Page/datafile/Betas.html</t>
  </si>
  <si>
    <t>Debt and financing claims</t>
  </si>
  <si>
    <t>June quoted notes fair value</t>
  </si>
  <si>
    <t>June 2026 quoted notes fair value carried forward as a proxy, not an October bond quote.</t>
  </si>
  <si>
    <t>Other long-term debt proxy</t>
  </si>
  <si>
    <t>June other debt 1,686 plus Waymo's USD5,000m term loan closed 8 October 2026; face value proxy. https://blog.waymo.com/blog/2026/10/waymo-closes-5-billion-debt-financing/</t>
  </si>
  <si>
    <t>Debt excluding finance leases</t>
  </si>
  <si>
    <t>Avoid adding the current note portion again; included in outstanding-note fair value.</t>
  </si>
  <si>
    <t>Finance lease claim</t>
  </si>
  <si>
    <t>June carrying-value proxy; already separate in the enterprise bridge.</t>
  </si>
  <si>
    <t>Borrowing-cost estimate</t>
  </si>
  <si>
    <t>H1 EBIT</t>
  </si>
  <si>
    <t>Six-month operating earnings; used only to assess interest coverage.</t>
  </si>
  <si>
    <t>H1 interest expense incl. capitalised</t>
  </si>
  <si>
    <t>Q2 2026 Note 7; capitalised interest included to avoid overstating coverage.</t>
  </si>
  <si>
    <t>Interest coverage</t>
  </si>
  <si>
    <t>Same-period numerator and denominator.</t>
  </si>
  <si>
    <t>Synthetic credit spread</t>
  </si>
  <si>
    <t>January 2026 Aaa/AAA coverage category synthetic spread; not an observed October traded yield. https://pages.stern.nyu.edu/adamodar/New_Home_Page/datafile/ratings.html</t>
  </si>
  <si>
    <t>Pre-tax borrowing cost</t>
  </si>
  <si>
    <t>Treasury plus synthetic spread; test ±50 bps. A dated traded-bond yield can replace this estimate.</t>
  </si>
  <si>
    <t>Mandatory convertible preferred</t>
  </si>
  <si>
    <t>Total depositary shares (millions)</t>
  </si>
  <si>
    <t>Q2 2026 Note 11; split evenly between Series A/B.</t>
  </si>
  <si>
    <t>Series A depositary closing price</t>
  </si>
  <si>
    <t>23 October 2026 close, GOOGM. https://www.quiverquant.com/stock/GOOGM/historical-prices/</t>
  </si>
  <si>
    <t>Series B depositary closing price</t>
  </si>
  <si>
    <t>23 October 2026 close, GOOGN. https://businessquant.com/stocks/googn/</t>
  </si>
  <si>
    <t>Market value includes conversion rights; no additional common-share dilution adjustment.</t>
  </si>
  <si>
    <t>Preferred required return assumption</t>
  </si>
  <si>
    <t>Uses common-equity cost as a provisional equity-like risk proxy, not the 6.25% coupon or current dividend yield.</t>
  </si>
  <si>
    <t>Preferred-return WACC sensitivity</t>
  </si>
  <si>
    <t>WACC change if preferred required return falls from common-equity cost to borrowing cost.</t>
  </si>
  <si>
    <t>Weighted average cost of capital</t>
  </si>
  <si>
    <t>Market values, with June debt and lease proxies.</t>
  </si>
  <si>
    <t>Common equity weight</t>
  </si>
  <si>
    <t>Debt weight</t>
  </si>
  <si>
    <t>Preferred weight</t>
  </si>
  <si>
    <t>Indicative WACC</t>
  </si>
  <si>
    <t>One date, one base discount rate; model remains provisional pending peer and market-input review.</t>
  </si>
  <si>
    <t>NCI / ownership claim</t>
  </si>
  <si>
    <t>Reported NCI including redeemable NCI</t>
  </si>
  <si>
    <t>Book value reference only; not automatically credited as market claim.</t>
  </si>
  <si>
    <t>NCI market-value estimate</t>
  </si>
  <si>
    <t>Book value used as the claim. Waymo's outside stake at the USD 126bn Feb 2026 post-money is not disclosed; a 10-20% outside stake would add about USD 5-18bn of claims (0.1-0.4% of market cap).</t>
  </si>
  <si>
    <t>Sources: Alphabet Q2 2026 Form 10-Q; Waymo 8 October financing; Treasury 23 October yield; Damodaran January betas/spreads and October ERP; dated market quotes.</t>
  </si>
  <si>
    <t>Revenue-weighted sector beta and June debt/lease carry-forwards are proxies. The October Waymo borrowing is added explicitly. Preferred cost uses equity risk; its small weight limits WACC sensitivity.</t>
  </si>
  <si>
    <t>Capped calls are separate assets; issuance premium is not current value. Their unresolved valuation is flagged in Financial assets and must be addressed before a final equity conclusion.</t>
  </si>
  <si>
    <t>Alphabet | operating forecast</t>
  </si>
  <si>
    <t>USD millions. Provisional scenarios; reference segment margins are adjusted for the explicit group depreciation schedule.</t>
  </si>
  <si>
    <t>2032–2036: consolidated transition. n/m = not separately modelled; group totals below include these operations.</t>
  </si>
  <si>
    <t>Revenue and earnings</t>
  </si>
  <si>
    <t>FY2025 A</t>
  </si>
  <si>
    <t>H1 2026 A</t>
  </si>
  <si>
    <t>TTM Jun26</t>
  </si>
  <si>
    <t>H2 2026 E</t>
  </si>
  <si>
    <t>FY2026 E</t>
  </si>
  <si>
    <t>2027 E</t>
  </si>
  <si>
    <t>2028 E</t>
  </si>
  <si>
    <t>2029 E</t>
  </si>
  <si>
    <t>2030 E</t>
  </si>
  <si>
    <t>2031 E</t>
  </si>
  <si>
    <t>2032 E</t>
  </si>
  <si>
    <t>2033 E</t>
  </si>
  <si>
    <t>2034 E</t>
  </si>
  <si>
    <t>2035 E</t>
  </si>
  <si>
    <t>2036 E</t>
  </si>
  <si>
    <t>Search &amp; other</t>
  </si>
  <si>
    <t>n/m</t>
  </si>
  <si>
    <t>YouTube advertising</t>
  </si>
  <si>
    <t>Google Network</t>
  </si>
  <si>
    <t>Subscriptions / devices</t>
  </si>
  <si>
    <t>Hedging</t>
  </si>
  <si>
    <t>Total revenue</t>
  </si>
  <si>
    <t>Segment reference earnings</t>
  </si>
  <si>
    <t>Services reference EBIT</t>
  </si>
  <si>
    <t>Cloud reference EBIT</t>
  </si>
  <si>
    <t>Other Bets loss</t>
  </si>
  <si>
    <t>Alphabet-level costs</t>
  </si>
  <si>
    <t>Group earnings at reference D&amp;A</t>
  </si>
  <si>
    <t>Reference D&amp;A added back</t>
  </si>
  <si>
    <t>Pre-D&amp;A operating earnings (SBC retained)</t>
  </si>
  <si>
    <t>Explicit depreciation and tax</t>
  </si>
  <si>
    <t>Modelled PP&amp;E depreciation</t>
  </si>
  <si>
    <t>Intangible amortisation</t>
  </si>
  <si>
    <t>Consolidated EBIT</t>
  </si>
  <si>
    <t>Consolidated operating margin</t>
  </si>
  <si>
    <t>Operating tax</t>
  </si>
  <si>
    <t>NOPAT</t>
  </si>
  <si>
    <t>Cash CapEx</t>
  </si>
  <si>
    <t>Model interpretation</t>
  </si>
  <si>
    <t>Reference segment EBIT uses scenario margins at the H1 2026 D&amp;A/revenue burden. That burden is added back and replaced once by the capital schedule.</t>
  </si>
  <si>
    <t>Segment D&amp;A allocation is not disclosed; forecast segment reference EBIT is not a claim of independently modelled segment GAAP profit.</t>
  </si>
  <si>
    <t>H2 uses prior-year H2 product revenue × selected YoY growth. FY2026 combines H1 actual and H2 estimate; only future cash flows enter the DCF.</t>
  </si>
  <si>
    <t>Services cost sensitivities</t>
  </si>
  <si>
    <t>Advertising revenue</t>
  </si>
  <si>
    <t>TAC rate change vs. reference</t>
  </si>
  <si>
    <t>Incremental TAC cost</t>
  </si>
  <si>
    <t>AI serving-cost change</t>
  </si>
  <si>
    <t>Incremental AI serving cost</t>
  </si>
  <si>
    <t>Reference margins already include baseline TAC, content and infrastructure costs. Only changes versus that reference are applied; D&amp;A is replaced once at group level.</t>
  </si>
  <si>
    <t>Services cost drivers</t>
  </si>
  <si>
    <t>Reference Network share of advertising</t>
  </si>
  <si>
    <t>Forecast Network share</t>
  </si>
  <si>
    <t>TAC mix effect (percentage points)</t>
  </si>
  <si>
    <t>AI serving cost intensity factor</t>
  </si>
  <si>
    <t>Shared costs and planned demand</t>
  </si>
  <si>
    <t>Planned group revenue</t>
  </si>
  <si>
    <t>Shared AI research expense</t>
  </si>
  <si>
    <t>Other shared corporate expense</t>
  </si>
  <si>
    <t>Total Alphabet-level expense</t>
  </si>
  <si>
    <t>TAC change combines an explicit partner-pricing stress and a Network-mix sensitivity. Reference margins already include baseline TAC.</t>
  </si>
  <si>
    <t>AI serving cost = assumed starting exposure × cumulative unit-cost improvement × workload intensity. This excludes shared research and D&amp;A.</t>
  </si>
  <si>
    <t>Shared research follows planned demand with scenario elasticity. The non-AI residual follows inflation; spending does not instantly disappear when delivery disappoints.</t>
  </si>
  <si>
    <t>The 5% serving-cost exposure, 80% research split and 40pp Network differential are analyst sensitivities, not disclosed company metrics.</t>
  </si>
  <si>
    <t>Alphabet | Cloud demand and delivery</t>
  </si>
  <si>
    <t>USD millions. Opening backlog is recognised once; new contracts, renewals and usage are shown separately. Financing and capacity exposures are analyst sensitivities.</t>
  </si>
  <si>
    <t>Cloud revenue build</t>
  </si>
  <si>
    <t>June 2026 Cloud backlog</t>
  </si>
  <si>
    <t>Scheduled share of opening backlog</t>
  </si>
  <si>
    <t>Scheduled opening-backlog recognition</t>
  </si>
  <si>
    <t>Reference demand growth</t>
  </si>
  <si>
    <t>Revenue demand before backlog floor</t>
  </si>
  <si>
    <t>Planned Cloud demand</t>
  </si>
  <si>
    <t>New contracts / usage outside opening backlog</t>
  </si>
  <si>
    <t>Opening unrecognised June backlog</t>
  </si>
  <si>
    <t>Opening deferred recognition</t>
  </si>
  <si>
    <t>Recognition due including delays</t>
  </si>
  <si>
    <t>Required in-service PP&amp;E (capacity requirement × annualised demand)</t>
  </si>
  <si>
    <t>Average in-service PP&amp;E</t>
  </si>
  <si>
    <t>Capacity coverage (capped at 100%)</t>
  </si>
  <si>
    <t>Delivery factor</t>
  </si>
  <si>
    <t>Funding-related recognition factor</t>
  </si>
  <si>
    <t>Opening backlog recognised</t>
  </si>
  <si>
    <t>Closing unrecognised June backlog</t>
  </si>
  <si>
    <t>Delayed recognition carried forward</t>
  </si>
  <si>
    <t>New business after delivery constraint</t>
  </si>
  <si>
    <t>Financing-related new-business reduction</t>
  </si>
  <si>
    <t>New business recognised</t>
  </si>
  <si>
    <t>Forecast Cloud revenue</t>
  </si>
  <si>
    <t>Actual forecast revenue growth</t>
  </si>
  <si>
    <t>Demand less delivered revenue</t>
  </si>
  <si>
    <t>Group demand for CapEx planning</t>
  </si>
  <si>
    <t>Opening backlog reconciliation</t>
  </si>
  <si>
    <t>24-month reference recognition share</t>
  </si>
  <si>
    <t>24-month delivered share (timing proxy)</t>
  </si>
  <si>
    <t>June backlog remaining at end 2031</t>
  </si>
  <si>
    <t>AWS H1 2026 operating margin</t>
  </si>
  <si>
    <t>Cloud 2031 reference operating margin</t>
  </si>
  <si>
    <t>Timing: 51% by June 2028 is an analyst approximation to group guidance of just over 50%; the 2031 tail is assumed, not a disclosed contract expiry.</t>
  </si>
  <si>
    <t>Delivery compares average in-service PP&amp;E with the capacity that planned demand requires (Assumptions row 234, calibrated so the Base build just covers Base demand). A shortfall cuts the delivery-sensitive half of Cloud revenue; surplus capacity does not accelerate contracted revenue. This is a capacity proxy, not measured workloads or utilisation. Delayed opening backlog stays in the roll-forward.</t>
  </si>
  <si>
    <t>New-business demand is the residual after opening-backlog recognition, subject to a 15% minimum mix assumption. No separate new-bookings balance is claimed.</t>
  </si>
  <si>
    <t>Financing exposure (20%) is an illustrative sensitivity, not an identified customer share. Deferred conversion and weaker new business are modelled separately.</t>
  </si>
  <si>
    <t>Backlog extends beyond June 2028. Existing contracts are not added to the enterprise bridge; remaining performance obligations are future operating revenue.</t>
  </si>
  <si>
    <t>Sources: Alphabet Q2 2026 Form 10-Q Note 2; Google Cloud 6 April 2026 Anthropic capacity announcement; Amazon 30 July 2026 earnings release.</t>
  </si>
  <si>
    <t>Opening backlog allocation check</t>
  </si>
  <si>
    <t>24-month profile vs timing benchmark</t>
  </si>
  <si>
    <t>2032–2036: consolidated demand and capacity (USD millions)</t>
  </si>
  <si>
    <t>Parent-level transition</t>
  </si>
  <si>
    <t>Consolidated revenue</t>
  </si>
  <si>
    <t>Consolidated revenue growth</t>
  </si>
  <si>
    <t>Required closing in-service PP&amp;E</t>
  </si>
  <si>
    <t>Closing in-service PP&amp;E</t>
  </si>
  <si>
    <t>Closing construction in progress</t>
  </si>
  <si>
    <t>Return on tangible operating capital</t>
  </si>
  <si>
    <t>Consolidated FCFF</t>
  </si>
  <si>
    <t>Cloud-specific forecasts end in 2031. From 2032, demand, capacity and cash flow are modelled at parent level in Transition and Capital and FCFF. These linked figures are consolidated, not standalone Cloud forecasts.</t>
  </si>
  <si>
    <t>Alphabet | operating working capital</t>
  </si>
  <si>
    <t>USD millions. Non-cash operating balances exclude financing and identified non-operating items. Required operating cash is added in rows 58–62; residual classifications remain provisional.</t>
  </si>
  <si>
    <t>Opening non-cash operating WC</t>
  </si>
  <si>
    <t>2032–2036: linked totals; 2031 working-capital ratios retained.</t>
  </si>
  <si>
    <t>Operating balance</t>
  </si>
  <si>
    <t>Dec 2025 A</t>
  </si>
  <si>
    <t>Jun 2026 A</t>
  </si>
  <si>
    <t>Dec 2026 E</t>
  </si>
  <si>
    <t>Operating current assets</t>
  </si>
  <si>
    <t>Trade receivables</t>
  </si>
  <si>
    <t>Inventory</t>
  </si>
  <si>
    <t>Other current assets / operating residual</t>
  </si>
  <si>
    <t>Less: held-for-sale PP&amp;E</t>
  </si>
  <si>
    <t>n/a</t>
  </si>
  <si>
    <t>Less: further non-operating adjustments</t>
  </si>
  <si>
    <t>Operating current liabilities</t>
  </si>
  <si>
    <t>Reported accounts payable</t>
  </si>
  <si>
    <t>Less: CapEx creditors in AP</t>
  </si>
  <si>
    <t>Operating supplier payables</t>
  </si>
  <si>
    <t>Accrued compensation</t>
  </si>
  <si>
    <t>Accrued revenue share</t>
  </si>
  <si>
    <t>Deferred revenue</t>
  </si>
  <si>
    <t>Reported other current liabilities</t>
  </si>
  <si>
    <t>Less: financing, tax, leases and brokers</t>
  </si>
  <si>
    <t>Less: CapEx creditors in accruals</t>
  </si>
  <si>
    <t>Less: accrued fines and settlements</t>
  </si>
  <si>
    <t>Residual operating accruals</t>
  </si>
  <si>
    <t>Net operating working capital</t>
  </si>
  <si>
    <t>Published historical proxy</t>
  </si>
  <si>
    <t>Proxy after identified adjustments</t>
  </si>
  <si>
    <t>Reconciliation check</t>
  </si>
  <si>
    <t>Forecast calibration</t>
  </si>
  <si>
    <t>Annual / TTM revenue basis</t>
  </si>
  <si>
    <t>Receivable days</t>
  </si>
  <si>
    <t>Inventory / revenue</t>
  </si>
  <si>
    <t>Other operating assets / revenue</t>
  </si>
  <si>
    <t>Operating payables / revenue</t>
  </si>
  <si>
    <t>Compensation accrual / revenue</t>
  </si>
  <si>
    <t>Revenue-share accrual / revenue</t>
  </si>
  <si>
    <t>Deferred revenue / revenue</t>
  </si>
  <si>
    <t>Other operating accruals / revenue</t>
  </si>
  <si>
    <t>NOWC / revenue</t>
  </si>
  <si>
    <t>Forecast cash investment</t>
  </si>
  <si>
    <t>Opening operating working capital</t>
  </si>
  <si>
    <t>Increase in operating working capital</t>
  </si>
  <si>
    <t>Forecast opening NOWC removes held-for-sale PP&amp;E and legal accruals from the historical proxy. Required operating cash is added separately below.</t>
  </si>
  <si>
    <t>Residual other assets/liabilities may include derivatives or collateral not separately disclosed as current. Additional exclusion inputs default to zero, pending evidence.</t>
  </si>
  <si>
    <t>Legal settlements are excluded from recurring NOWC and handled in the valuation bridge. The July payment reduces cash; unpaid claims must not disappear.</t>
  </si>
  <si>
    <t>GFiber's reclassified assets are excluded from recurring working capital, not assumed worthless. Disposal / retained-interest value requires a separate assessment.</t>
  </si>
  <si>
    <t>Inventory normalises to the reclassified FY2025 ratio, approximately 0.61% of sales. The Q2 2026 comparative separates inventory from other current assets without changing historical NOWC.</t>
  </si>
  <si>
    <t>Required operating cash and total working capital</t>
  </si>
  <si>
    <t>Required operating cash</t>
  </si>
  <si>
    <t>Operating WC including required cash</t>
  </si>
  <si>
    <t>Opening required operating cash</t>
  </si>
  <si>
    <t>Increase in required cash</t>
  </si>
  <si>
    <t>Total operating WC investment</t>
  </si>
  <si>
    <t>Required operating cash uses Financial assets!B30 (2% of annual/TTM sales). The June reserve is withheld from surplus cash; future increases reduce FCFF and remain in operating capital.</t>
  </si>
  <si>
    <t>2032–2036 retains the 2031 component/revenue ratios to show the breakdown of the existing total operating-WC forecast. n/a denotes historical-only reconciliations; terminal reinvestment already includes operating cash funding.</t>
  </si>
  <si>
    <t>Transition checks (zero = reconciled)</t>
  </si>
  <si>
    <t>Components vs total WC investment</t>
  </si>
  <si>
    <t>Operating assets less liabilities vs NOWC</t>
  </si>
  <si>
    <t>Alphabet | capital deployment and FCFF</t>
  </si>
  <si>
    <t>USD millions. Economic depreciation / replacement prototype; asset allocation, tax treatment and deployment rates are provisional.</t>
  </si>
  <si>
    <t>Cash-flow forecast</t>
  </si>
  <si>
    <t>2032</t>
  </si>
  <si>
    <t>2033</t>
  </si>
  <si>
    <t>2034</t>
  </si>
  <si>
    <t>2035</t>
  </si>
  <si>
    <t>2036</t>
  </si>
  <si>
    <t>Period length (years)</t>
  </si>
  <si>
    <t>Years since June 2026, period end</t>
  </si>
  <si>
    <t>Cash investment and deployment</t>
  </si>
  <si>
    <t>Planned cash CapEx</t>
  </si>
  <si>
    <t>Replacement-spending floor</t>
  </si>
  <si>
    <t>Opening assets not in service</t>
  </si>
  <si>
    <t>Commissioned assets</t>
  </si>
  <si>
    <t>Closing assets not in service</t>
  </si>
  <si>
    <t>Hardware commissioned</t>
  </si>
  <si>
    <t>Other assets commissioned</t>
  </si>
  <si>
    <t>Capital and depreciation</t>
  </si>
  <si>
    <t>Opening net PP&amp;E</t>
  </si>
  <si>
    <t>Opening-asset hardware depreciation</t>
  </si>
  <si>
    <t>Opening-asset other depreciation</t>
  </si>
  <si>
    <t>Depreciation of new commissioned assets</t>
  </si>
  <si>
    <t>Total PP&amp;E economic depreciation</t>
  </si>
  <si>
    <t>Closing net PP&amp;E</t>
  </si>
  <si>
    <t>Closing in-service net PP&amp;E</t>
  </si>
  <si>
    <t>PP&amp;E roll-forward check</t>
  </si>
  <si>
    <t>Free cash flow</t>
  </si>
  <si>
    <t>PP&amp;E depreciation added back</t>
  </si>
  <si>
    <t>Intangible amortisation added back</t>
  </si>
  <si>
    <t>Cash CapEx deducted</t>
  </si>
  <si>
    <t>Closing operating WC including cash</t>
  </si>
  <si>
    <t>Opening operating WC including cash</t>
  </si>
  <si>
    <t>Increase in operating WC including cash</t>
  </si>
  <si>
    <t>Projected FCFF</t>
  </si>
  <si>
    <t>Average tangible operating capital</t>
  </si>
  <si>
    <t>Cash CapEx / period revenue</t>
  </si>
  <si>
    <t>Opening productive asset pools</t>
  </si>
  <si>
    <t>Opening hardware net book value</t>
  </si>
  <si>
    <t>Opening other productive net book value</t>
  </si>
  <si>
    <t>Opening hardware remaining life</t>
  </si>
  <si>
    <t>Opening other remaining life</t>
  </si>
  <si>
    <t>Hardware depreciation by commissioning cohort</t>
  </si>
  <si>
    <t>H2 2026 hardware</t>
  </si>
  <si>
    <t>2027 hardware</t>
  </si>
  <si>
    <t>2028 hardware</t>
  </si>
  <si>
    <t>2029 hardware</t>
  </si>
  <si>
    <t>2030 hardware</t>
  </si>
  <si>
    <t>2031 hardware</t>
  </si>
  <si>
    <t>2032 hardware</t>
  </si>
  <si>
    <t>2033 hardware</t>
  </si>
  <si>
    <t>2034 hardware</t>
  </si>
  <si>
    <t>2035 hardware</t>
  </si>
  <si>
    <t>2036 hardware</t>
  </si>
  <si>
    <t>Other-asset depreciation by commissioning cohort</t>
  </si>
  <si>
    <t>H2 2026 other assets</t>
  </si>
  <si>
    <t>2027 other assets</t>
  </si>
  <si>
    <t>2028 other assets</t>
  </si>
  <si>
    <t>2029 other assets</t>
  </si>
  <si>
    <t>2030 other assets</t>
  </si>
  <si>
    <t>2031 other assets</t>
  </si>
  <si>
    <t>2032 other assets</t>
  </si>
  <si>
    <t>2033 other assets</t>
  </si>
  <si>
    <t>2034 other assets</t>
  </si>
  <si>
    <t>2035 other assets</t>
  </si>
  <si>
    <t>2036 other assets</t>
  </si>
  <si>
    <t>Hardware replacement at cohort expiry</t>
  </si>
  <si>
    <t>H2 2026 hardware renewal</t>
  </si>
  <si>
    <t>2027 hardware renewal</t>
  </si>
  <si>
    <t>2028 hardware renewal</t>
  </si>
  <si>
    <t>2029 hardware renewal</t>
  </si>
  <si>
    <t>2030 hardware renewal</t>
  </si>
  <si>
    <t>2031 hardware renewal</t>
  </si>
  <si>
    <t>2032 hardware renewal</t>
  </si>
  <si>
    <t>2033 hardware renewal</t>
  </si>
  <si>
    <t>2034 hardware renewal</t>
  </si>
  <si>
    <t>2035 hardware renewal</t>
  </si>
  <si>
    <t>2036 hardware renewal</t>
  </si>
  <si>
    <t>Required in-service net PP&amp;E</t>
  </si>
  <si>
    <t>Depreciation from earlier new cohorts</t>
  </si>
  <si>
    <t>Current-cohort D&amp;A per commissioned dollar</t>
  </si>
  <si>
    <t>Depreciation from existing cohorts</t>
  </si>
  <si>
    <t>Demand-led commissioning requirement</t>
  </si>
  <si>
    <t>New purchases after using opening CIP</t>
  </si>
  <si>
    <t>Net tangible cash reinvestment</t>
  </si>
  <si>
    <t>Unfunded productive-capital shortfall (zero)</t>
  </si>
  <si>
    <t>Cohort depreciation reconciliation (zero)</t>
  </si>
  <si>
    <t>From 2032, commissioning restores the productive assets required by forecast demand; purchases use opening CIP first and retain a normal pipeline of (1/rate - 0.5) times annual commissioning.</t>
  </si>
  <si>
    <t>Commissioning is a delivery proxy. Asset mix and lives are scenario assumptions; no separate physical workload or Cloud-only asset allocation is disclosed.</t>
  </si>
  <si>
    <t>Replacement supports required capacity rather than every expiring asset. Row 11 remains a mechanical expiry benchmark but is not a binding floor after 2031. EBIT deducts the actual cohort depreciation schedule.</t>
  </si>
  <si>
    <t>Existing finite intangibles run off through 2036: disclosed schedule through 2030, retained 2031 estimate, residual spread over 2032–2036. No future acquisitions assumed; R&amp;D remains expensed.</t>
  </si>
  <si>
    <t>Economic depreciation is not tax depreciation. Cash tax timing and finance-lease additions remain unresolved calibration items.</t>
  </si>
  <si>
    <t>Existing acquired-intangible roll-forward</t>
  </si>
  <si>
    <t>Opening definite-lived intangibles</t>
  </si>
  <si>
    <t>Amortisation of existing intangibles</t>
  </si>
  <si>
    <t>Closing definite-lived intangibles</t>
  </si>
  <si>
    <t>Closing indefinite-lived intangibles</t>
  </si>
  <si>
    <t>Total closing intangible book value</t>
  </si>
  <si>
    <t>Existing goodwill (no amortisation)</t>
  </si>
  <si>
    <t>Thereafter allocation check</t>
  </si>
  <si>
    <t>Opening intangible balance check</t>
  </si>
  <si>
    <t>Finite book amortisation is deducted in EBIT and added back in FCFF. Tax deduction is controlled separately. Goodwill and indefinite-lived intangibles are not amortised or added separately to DCF value.</t>
  </si>
  <si>
    <t>Transition investment is driven by NOPAT before acquired amortisation, excluding mechanical runoff and finite tax benefits from growth. Net tangible reinvestment deducts PP&amp;E depreciation only; this avoids disguising intangible runoff as new physical investment.</t>
  </si>
  <si>
    <t>Alphabet | transition to steady state</t>
  </si>
  <si>
    <t>USD millions. After 2031, purchases follow required productive assets and use existing CIP first. Earnings deduct actual cohort depreciation; returns emerge from demand, costs and capital.</t>
  </si>
  <si>
    <t>Steady-state transition</t>
  </si>
  <si>
    <t>2031 anchor</t>
  </si>
  <si>
    <t>2037 terminal</t>
  </si>
  <si>
    <t>Transition completed</t>
  </si>
  <si>
    <t>Revenue growth</t>
  </si>
  <si>
    <t>Revenue</t>
  </si>
  <si>
    <t>Operating margin</t>
  </si>
  <si>
    <t>Operating profit</t>
  </si>
  <si>
    <t>Operating tax rate</t>
  </si>
  <si>
    <t>Net tangible reinvestment / pre-amort NOPAT</t>
  </si>
  <si>
    <t>FCFF</t>
  </si>
  <si>
    <t>Present value of transition FCFF</t>
  </si>
  <si>
    <t>Terminal controls</t>
  </si>
  <si>
    <t>Steady-state growth</t>
  </si>
  <si>
    <t>Steady-state return on capital</t>
  </si>
  <si>
    <t>Steady-state reinvestment rate</t>
  </si>
  <si>
    <t>Margin target used</t>
  </si>
  <si>
    <t>Terminal growth check</t>
  </si>
  <si>
    <t>After 2031, growth and tax fade while CapEx follows required productive assets. By 2036 Base uses the existing demand-capacity benchmark, Bull needs 10% less capital per revenue and Bear 10% more (analyst assumptions).</t>
  </si>
  <si>
    <t>Existing CIP funds commissioning before new purchases. Actual cohort depreciation determines EBIT; no permanent excess-CIP depreciation deduction or automatic replacement of unneeded assets is applied.</t>
  </si>
  <si>
    <t>Terminal new-project returns use mature capital productivity, floored at WACC to represent selective approval of zero-NPV or better projects. This assumption does not raise returns earned on sunk assets.</t>
  </si>
  <si>
    <t>Incremental return and reinvestment</t>
  </si>
  <si>
    <t>Next-year NOPAT gain / net reinvestment (diagnostic)</t>
  </si>
  <si>
    <t>Next-year pre-amortisation NOPAT increase</t>
  </si>
  <si>
    <t>Actual net tangible reinvestment</t>
  </si>
  <si>
    <t>Return on average tangible operating capital</t>
  </si>
  <si>
    <t>Terminal FCFF change vs final transition</t>
  </si>
  <si>
    <t>Review large discontinuities; terminal reinvestment must cover a sustainable replacement burden.</t>
  </si>
  <si>
    <t>Terminal investment / final net investment</t>
  </si>
  <si>
    <t>A large decline requires an economic explanation, not just a formula transition.</t>
  </si>
  <si>
    <t>Terminal FCFF continuity</t>
  </si>
  <si>
    <t>Analyst review threshold, not an assertion of fair value.</t>
  </si>
  <si>
    <t>Post-build capital productivity and depreciation</t>
  </si>
  <si>
    <t>2031 closing assets not in service</t>
  </si>
  <si>
    <t>Mature capacity benchmark: closing PP&amp;E / revenue</t>
  </si>
  <si>
    <t>2036 capital intensity / mature capacity benchmark</t>
  </si>
  <si>
    <t>2031 actual in-service PP&amp;E / revenue</t>
  </si>
  <si>
    <t>Separate permanent CIP depreciation adjustment</t>
  </si>
  <si>
    <t>2031 operating margin (unchanged)</t>
  </si>
  <si>
    <t>2031 NOPAT (unchanged)</t>
  </si>
  <si>
    <t>The explicit average-asset demand benchmark converts to closing assets using (1+growth)/(1+0.5*growth). The required ratio fades from actual 2031 assets to this benchmark times the scenario factor. It is a financial proxy, not physical utilisation. CIP is consumed through commissioning; terminal investment sustains the mature pipeline rather than repeating its drawdown.</t>
  </si>
  <si>
    <t>2031 margin before PP&amp;E depreciation and amortisation</t>
  </si>
  <si>
    <t>Existing acquired amortisation</t>
  </si>
  <si>
    <t>NOPAT before acquired amortisation</t>
  </si>
  <si>
    <t>Cash tax benefit from acquired amortisation</t>
  </si>
  <si>
    <t>2031 pre-amortisation NOPAT</t>
  </si>
  <si>
    <t>2031 net tangible reinvestment</t>
  </si>
  <si>
    <t>Alphabet | relative valuation and multiples-based sum of the parts</t>
  </si>
  <si>
    <t>USD millions. Valuation 25 October 2026; market closes 23 October. Latest available filings are used. EV adds financing and explicit settlement claims; excludes operating leases (rent remains in EBIT); deducts non-operating financial assets and retains 2% of revenue as operating cash. Book/face-value claims remain proxies.</t>
  </si>
  <si>
    <t>Peer valuation: 23 October 2026 market closes</t>
  </si>
  <si>
    <t>USD millions unless stated</t>
  </si>
  <si>
    <t>Alphabet</t>
  </si>
  <si>
    <t>Meta</t>
  </si>
  <si>
    <t>Microsoft</t>
  </si>
  <si>
    <t>Oracle</t>
  </si>
  <si>
    <t>Amazon (AWS benchmark)</t>
  </si>
  <si>
    <t>Period used</t>
  </si>
  <si>
    <t>TTM Jun 2026</t>
  </si>
  <si>
    <t>TTM Sep 2026</t>
  </si>
  <si>
    <t>FY Jun 2026</t>
  </si>
  <si>
    <t>TTM Aug 2026</t>
  </si>
  <si>
    <t>TTM Jun 2026 (AWS)</t>
  </si>
  <si>
    <t>Meta September and Oracle August are newly reported; Alphabet and AWS remain June, Microsoft FY June.</t>
  </si>
  <si>
    <t>Share price, 23 Oct 2026 close (USD)</t>
  </si>
  <si>
    <t>Google Finance dated 23 October closes: https://www.google.com/finance/quote/META:NASDAQ (MSFT, ORCL, AMZN same provider). Alphabet group cap from YCharts.</t>
  </si>
  <si>
    <t>Shares outstanding (millions)</t>
  </si>
  <si>
    <t>Latest filing cover shares: Meta 16 Oct (A+B); Microsoft 23 Jul; Oracle 7 Sep; Amazon Q2. Share-count carry-forwards may miss subsequent issuance/repurchases.</t>
  </si>
  <si>
    <t>Financing and settlement claims</t>
  </si>
  <si>
    <t>Meta: current/long debt + finance-lease ROU proxy + non-contingent settlement nominal proxy. Microsoft: notes 40,294 + finance leases 66,594. Oracle: current/long notes + finance leases + 4,954 preferred proxy + 424 NCI.</t>
  </si>
  <si>
    <t>Less: cash and marketable securities</t>
  </si>
  <si>
    <t>Meta 30 September; Microsoft 30 June; Oracle 31 August. Meta restricted cash is excluded from the non-operating credit.</t>
  </si>
  <si>
    <t>Less: non-marketable and equity investments</t>
  </si>
  <si>
    <t>Private/equity investment balances: Meta September, Microsoft June, Oracle August (primarily TikTok USDS). Carrying-value proxies.</t>
  </si>
  <si>
    <t>Add: operating cash reserve (2% of revenue)</t>
  </si>
  <si>
    <t>Same 2% reserve as Financial assets!B30.</t>
  </si>
  <si>
    <t>Enterprise value (Alphabet: market-implied operating EV)</t>
  </si>
  <si>
    <t>Amazon EV not computed: finance leases not collected and retail dominates; AWS used for operating comparison only.</t>
  </si>
  <si>
    <t>TTM = latest full year + current YTD − prior YTD. Meta 9 months; Oracle first quarter. Filing inputs sourced below.</t>
  </si>
  <si>
    <t>Revenue growth vs prior twelve months</t>
  </si>
  <si>
    <t>Same-period prior-TTM growth; Meta base reconciled below. Oracle FY2025 + Q1FY2026 − Q1FY2025; Alphabet/AWS prior bases unchanged.</t>
  </si>
  <si>
    <t>Operating income (EBIT)</t>
  </si>
  <si>
    <t>GAAP EBIT for peer table. Meta includes a 9,890 settlement charge; Services valuation uses separately normalised group/FoA EBIT, adding this charge back.</t>
  </si>
  <si>
    <t>Cash purchases of property and equipment</t>
  </si>
  <si>
    <t>Cash PP&amp;E purchases only, excluding lease additions. Meta 9-month and Oracle first-quarter TTM bridges; Microsoft FYJune. Oracle includes accelerated construction spending.</t>
  </si>
  <si>
    <t>Cash CapEx / revenue</t>
  </si>
  <si>
    <t>EV / EBIT</t>
  </si>
  <si>
    <t>Trailing multiple; Alphabet at its market-implied operating EV.</t>
  </si>
  <si>
    <t>DCF-implied EV / EBIT (Alphabet)</t>
  </si>
  <si>
    <t>Our Base operating EV over the same trailing EBIT.</t>
  </si>
  <si>
    <t>Segment benchmarks</t>
  </si>
  <si>
    <t>Growth</t>
  </si>
  <si>
    <t>EBIT</t>
  </si>
  <si>
    <t>Margin</t>
  </si>
  <si>
    <t>Alphabet Google Cloud (TTM Jun 2026)</t>
  </si>
  <si>
    <t>Prior TTM 49,192 (FY2024 43,229 + H1 2025 25,884 - H1 2024 19,921).</t>
  </si>
  <si>
    <t>Amazon Web Services (TTM Jun 2026)</t>
  </si>
  <si>
    <t>Amazon Q2 2026 release.</t>
  </si>
  <si>
    <t>Microsoft Intelligent Cloud (FY Jun 2026)</t>
  </si>
  <si>
    <t>Microsoft FY2026 Q4 release; segment includes server products and enterprise services.</t>
  </si>
  <si>
    <t>Oracle Cloud Infrastructure (FY May 2026)</t>
  </si>
  <si>
    <t>Oracle FY2026 Q4 release; segment profit not disclosed.</t>
  </si>
  <si>
    <t>Alphabet Google Services (TTM Jun 2026)</t>
  </si>
  <si>
    <t>Segment operating income before Alphabet-level costs.</t>
  </si>
  <si>
    <t>Meta Family of Apps (TTM Sep 2026)</t>
  </si>
  <si>
    <t>GAAP FoA EBIT. Add the disclosed 9,890 legal charge for the recurring-profit benchmark in B72.</t>
  </si>
  <si>
    <t>Multiples and inputs</t>
  </si>
  <si>
    <t>Low</t>
  </si>
  <si>
    <t>Central</t>
  </si>
  <si>
    <t>High</t>
  </si>
  <si>
    <t>Services EV/EBIT (Meta)</t>
  </si>
  <si>
    <t>Meta settlement charge added back to group/FoA EBIT, with its unpaid non-contingent claim added to EV. Low: Reality Labs worth zero; high: RL losses continue. This avoids capitalising the one-off charge as recurring.</t>
  </si>
  <si>
    <t>Cloud EV/EBIT (Microsoft, Oracle)</t>
  </si>
  <si>
    <t>Imperfect references: neither is a pure cloud business, and AWS has no separate market value. A growth premium is tested through the required multiple in row 60, not assumed.</t>
  </si>
  <si>
    <t>Cloud EBIT applied</t>
  </si>
  <si>
    <t>TTM Jun 2026; high case uses annualised H1 2026 EBIT (15,412 x 2), labelled as run-rate, not a forecast.</t>
  </si>
  <si>
    <t>Alphabet-level cost multiple (EBIT-weighted blend)</t>
  </si>
  <si>
    <t>Shared costs (TTM 21,541, mostly AI research) are deducted at the same blend of segment multiples; they are not allocated to segments, so they are counted once.</t>
  </si>
  <si>
    <t>Waymo post-money valuation, Feb 2026</t>
  </si>
  <si>
    <t>Waymo USD 16bn round (Waymo, 2026). A funding price is not a measure of intrinsic value.</t>
  </si>
  <si>
    <t>Alphabet ownership of Waymo</t>
  </si>
  <si>
    <t>Not disclosed; Alphabet is the majority investor. Range is analyst judgement.</t>
  </si>
  <si>
    <t>Waymo share of Other Bets losses</t>
  </si>
  <si>
    <t>Not disclosed; allocation sensitivity. The remainder belongs to residual ventures.</t>
  </si>
  <si>
    <t>Residual-venture loss horizon (years)</t>
  </si>
  <si>
    <t>Assumes continued investment for five years, then restructuring or closure; losses after tax at the 21% benchmark, discounted at WACC.</t>
  </si>
  <si>
    <t>Waymo cash inside the round value</t>
  </si>
  <si>
    <t>Cash already embedded in the February equity-round price, bounded by the 16bn equity raise. October loan proceeds and debt offset in the group bridge and are not deducted a second time.</t>
  </si>
  <si>
    <t>Sum of the parts</t>
  </si>
  <si>
    <t>TTM segment operating income x Services multiple.</t>
  </si>
  <si>
    <t>Cloud EBIT x Cloud multiple.</t>
  </si>
  <si>
    <t>Less: Alphabet-level costs</t>
  </si>
  <si>
    <t>TTM 21,541 x blended multiple.</t>
  </si>
  <si>
    <t>Waymo, attributable</t>
  </si>
  <si>
    <t>Post-money x ownership. Alphabet's share of Waymo cash is inside this value.</t>
  </si>
  <si>
    <t>Less: residual ventures</t>
  </si>
  <si>
    <t>Present value of residual Other Bets losses over the horizon.</t>
  </si>
  <si>
    <t>Value of parts before group bridge</t>
  </si>
  <si>
    <t>Mixes operating values with Waymo attributable equity, so it is not an operating EV and is not divided by consolidated EBIT.</t>
  </si>
  <si>
    <t>Add: non-operating assets</t>
  </si>
  <si>
    <t>Same credit as the DCF bridge.</t>
  </si>
  <si>
    <t>Less: all Waymo cash credited in the bridge</t>
  </si>
  <si>
    <t>The consolidated bridge credits 100% of Waymo cash: Alphabet's share is already in the attributable value and the outside share belongs to Waymo's other holders.</t>
  </si>
  <si>
    <t>Less: financing, settlement and NCI claims</t>
  </si>
  <si>
    <t>Same claims as the DCF, NCI included in full: the Waymo share of the 7,100 NCI is not disclosed, so this may overstate claims by up to 7,100.</t>
  </si>
  <si>
    <t>SOTP common equity value</t>
  </si>
  <si>
    <t>vs market capitalisation</t>
  </si>
  <si>
    <t>DCF common equity value</t>
  </si>
  <si>
    <t>Base DCF bridge.</t>
  </si>
  <si>
    <t>SOTP vs DCF</t>
  </si>
  <si>
    <t>Cloud EV/EBIT needed to reach market capitalisation (Services at peer multiple)</t>
  </si>
  <si>
    <t>Solves for the Cloud multiple with the shared-cost blend moving consistently. Which segment absorbs the premium depends on which one is held at its peer benchmark.</t>
  </si>
  <si>
    <t>Services EV/EBIT needed to reach market capitalisation (Cloud at peer multiple)</t>
  </si>
  <si>
    <t>Alternative allocation of the market premium with Cloud held at its peer benchmark; compare with current row 35, not a fixed historical multiple.</t>
  </si>
  <si>
    <t>Peer multiples measure relative pricing rather than intrinsic value. The SOTP tests the DCF against current market benchmarks; segment attribution of any premium depends on which benchmark is held fixed.</t>
  </si>
  <si>
    <t>Primary sources: Meta September 2026 10-Q and FY2025 10-K; Microsoft FY2026 annual report; Oracle August 2026 10-Q and FY2026 10-K; Amazon Q2 2026 release. Dated market quotes and calculation inputs below.</t>
  </si>
  <si>
    <t>Microsoft finance leases 66,594 verified in the FY2026 annual report lease note: https://www.sec.gov/Archives/edgar/data/789019/000119312526427876/d62902dars.pdf</t>
  </si>
  <si>
    <t>October update: normalisation and source reconciliation</t>
  </si>
  <si>
    <t>Meta Q3 2026 10-Q</t>
  </si>
  <si>
    <t>https://www.sec.gov/Archives/edgar/data/1326801/000162828026066773/meta-20260930.htm</t>
  </si>
  <si>
    <t>Oracle Q1 FY2027 10-Q</t>
  </si>
  <si>
    <t>https://www.sec.gov/Archives/edgar/data/1341439/000119312526389274/orcl-20260831.htm</t>
  </si>
  <si>
    <t>Meta non-recurring settlement EBIT charge</t>
  </si>
  <si>
    <t>Q3 included in Family of Apps costs; remove once from recurring earnings.</t>
  </si>
  <si>
    <t>Meta normalised TTM group EBIT</t>
  </si>
  <si>
    <t>Meta normalised TTM Family of Apps EBIT</t>
  </si>
  <si>
    <t>Meta non-current debt</t>
  </si>
  <si>
    <t>Meta current debt</t>
  </si>
  <si>
    <t>Meta finance-lease claim proxy</t>
  </si>
  <si>
    <t>Finance-lease ROU assets used as liability proxy where separate liability total is unavailable; not a disclosed lease liability.</t>
  </si>
  <si>
    <t>Meta non-contingent settlement claim proxy</t>
  </si>
  <si>
    <t>12,700 non-contingent payments +75 legal fees. Undiscounted nominal proxy; 5,300 conditional payments excluded. Higher than present value, conservatively raises EV.</t>
  </si>
  <si>
    <t>Meta prior nine-month revenue, 2024</t>
  </si>
  <si>
    <t>Meta prior TTM revenue</t>
  </si>
  <si>
    <t>Meta prior-period source</t>
  </si>
  <si>
    <t>https://investor.atmeta.com/investor-news/press-release-details/2025/Meta-Reports-Third-Quarter-2025-Results/default.aspx</t>
  </si>
  <si>
    <t>Meta normalised group EV/EBIT</t>
  </si>
  <si>
    <t>Meta settlement normalisation</t>
  </si>
  <si>
    <t>GAAP peer multiple is shown in row 21; normalised Services benchmark is row 35. Settlement claim and cost add-back are paired; they do not change Alphabet's own forecast.</t>
  </si>
  <si>
    <t>Alphabet | Monte Carlo inputs, evidence and correlations</t>
  </si>
  <si>
    <t>Each driver draws one triangular scenario position z ∈ [−1, +1], mode 0, mapped to its full Bear/Base/Bull path. The bounded shape favours the central judgement without assuming historically estimated volatility. Financial inputs need not themselves be triangular. Scenario anchors have no assigned probabilities; results are conditional on the model, ranges and copula. Details and robustness below.</t>
  </si>
  <si>
    <t>Driver (path H2 2026 → 2031 unless stated)</t>
  </si>
  <si>
    <t>Evidence anchoring the range</t>
  </si>
  <si>
    <t>Search growth</t>
  </si>
  <si>
    <t>10% → 3%</t>
  </si>
  <si>
    <t>17.9% → 8%</t>
  </si>
  <si>
    <t>22% → 12%</t>
  </si>
  <si>
    <t>FY2025 +13.4%; H1 2026 +17.9%; Bear converges to nominal-GDP growth</t>
  </si>
  <si>
    <t>Evidence-anchored</t>
  </si>
  <si>
    <t>YouTube advertising growth</t>
  </si>
  <si>
    <t>7% → 3%</t>
  </si>
  <si>
    <t>11.8% → 8%</t>
  </si>
  <si>
    <t>16% → 12%</t>
  </si>
  <si>
    <t>FY2025 +11.7%; H1 2026 +11.8%</t>
  </si>
  <si>
    <t>Network growth</t>
  </si>
  <si>
    <t>-8% → -5%</t>
  </si>
  <si>
    <t>-2.3% → -2%</t>
  </si>
  <si>
    <t>0% → 2%</t>
  </si>
  <si>
    <t>FY2025 -1.9%; H1 2026 -2.3%</t>
  </si>
  <si>
    <t>Subscriptions, platforms and devices growth</t>
  </si>
  <si>
    <t>8% → 4%</t>
  </si>
  <si>
    <t>17.2% → 9%</t>
  </si>
  <si>
    <t>20% → 13%</t>
  </si>
  <si>
    <t>FY2025 +19.1%; H1 2026 +17.2%</t>
  </si>
  <si>
    <t>Cloud demand growth</t>
  </si>
  <si>
    <t>45% → 6%</t>
  </si>
  <si>
    <t>73% → 12%</t>
  </si>
  <si>
    <t>85% → 18%</t>
  </si>
  <si>
    <t>H1 2026 +73%; USD 513.9bn backlog; AWS +27.5%, Microsoft Intelligent Cloud +29.7%, OCI +77% (TTM)</t>
  </si>
  <si>
    <t>Evidence-anchored; 2030-31 tail is judgement</t>
  </si>
  <si>
    <t>Cloud operating margin</t>
  </si>
  <si>
    <t>30% → 28%</t>
  </si>
  <si>
    <t>34.4% → 38%</t>
  </si>
  <si>
    <t>36% → 42%</t>
  </si>
  <si>
    <t>FY2025 23.7%, H1 2026 34.4%; AWS 36.8%, Microsoft Intelligent Cloud 41.3%</t>
  </si>
  <si>
    <t>Evidence-anchored (own history and peers)</t>
  </si>
  <si>
    <t>CapEx / planned revenue (2027 → 2031)</t>
  </si>
  <si>
    <t>38% → 27%</t>
  </si>
  <si>
    <t>35% → 22%</t>
  </si>
  <si>
    <t>36% → 23%</t>
  </si>
  <si>
    <t>TTM 29.7%; peers' cash CapEx 35-83% of revenue. Both scenario rows are larger builds, so the distribution is skewed above Base</t>
  </si>
  <si>
    <t>Judgement anchored to peers</t>
  </si>
  <si>
    <t>Commissioning rate</t>
  </si>
  <si>
    <t>Proxies: 2024 60.4%, 2025 65.9%, H1 2026 61.2%</t>
  </si>
  <si>
    <t>Wider than history: judgement</t>
  </si>
  <si>
    <t>New hardware life</t>
  </si>
  <si>
    <t>4 years</t>
  </si>
  <si>
    <t>5 years</t>
  </si>
  <si>
    <t>6 years</t>
  </si>
  <si>
    <t>Alphabet depreciates servers over six years; accelerators may become obsolete sooner</t>
  </si>
  <si>
    <t>Policy-anchored judgement</t>
  </si>
  <si>
    <t>TAC partner pricing (change in TAC rate)</t>
  </si>
  <si>
    <t>+0.25 → +0.5pp</t>
  </si>
  <si>
    <t>-0.25 → -0.5pp</t>
  </si>
  <si>
    <t>Search-distribution terms under antitrust remedies (U.S. Department of Justice, 2025)</t>
  </si>
  <si>
    <t>Judgement</t>
  </si>
  <si>
    <t>AI serving unit-cost improvement (annual)</t>
  </si>
  <si>
    <t>Management reports falling Gemini serving costs; no cost per query disclosed</t>
  </si>
  <si>
    <t>AI workload growth per revenue dollar (annual)</t>
  </si>
  <si>
    <t>Adoption of AI search features; not disclosed. Both alternatives exceed Base</t>
  </si>
  <si>
    <t>Shared research: elasticity (H2 2026 growth)</t>
  </si>
  <si>
    <t>1.10 (20%)</t>
  </si>
  <si>
    <t>0.80 (10%)</t>
  </si>
  <si>
    <t>0.65 (5%)</t>
  </si>
  <si>
    <t>Alphabet-level costs rose 75% in H1 2026 (USD 11.2bn vs 6.4bn)</t>
  </si>
  <si>
    <t>Other Bets: revenue growth / cost growth</t>
  </si>
  <si>
    <t>0% / 25% → 10%</t>
  </si>
  <si>
    <t>10% / 15% → 5%</t>
  </si>
  <si>
    <t>25% → 20% / 10% → 0%</t>
  </si>
  <si>
    <t>FY2025 revenue -6.7%, losses +69%</t>
  </si>
  <si>
    <t>Customer-funding stress on a 20% exposure: deferral / new-business cut</t>
  </si>
  <si>
    <t>25% / 35%</t>
  </si>
  <si>
    <t>5% / 10%</t>
  </si>
  <si>
    <t>0% / 0%</t>
  </si>
  <si>
    <t>USD 20bn conditional commitment to a private company; Anthropic capacity from 2027</t>
  </si>
  <si>
    <t>2036 productive capital / capacity benchmark</t>
  </si>
  <si>
    <t>Judgement: mature productive capital per revenue is 110% / 100% / 90% of the explicit demand-capacity benchmark. Fade from actual 2031 assets avoids perpetuating overbuild. Returns emerge from earnings and capital.</t>
  </si>
  <si>
    <t>Analyst scenario</t>
  </si>
  <si>
    <t>Theory-anchored</t>
  </si>
  <si>
    <t>Latent Gaussian correlations (copula)</t>
  </si>
  <si>
    <t>ρ</t>
  </si>
  <si>
    <t>Rationale</t>
  </si>
  <si>
    <t>Search - YouTube</t>
  </si>
  <si>
    <t>Common advertising cycle</t>
  </si>
  <si>
    <t>Search - Subscriptions</t>
  </si>
  <si>
    <t>Shared consumer engagement</t>
  </si>
  <si>
    <t>YouTube - Subscriptions</t>
  </si>
  <si>
    <t>YouTube Premium and TV sit in subscriptions</t>
  </si>
  <si>
    <t>Search - Network</t>
  </si>
  <si>
    <t>Same advertiser budgets</t>
  </si>
  <si>
    <t>Cloud demand - Cloud margin</t>
  </si>
  <si>
    <t>Operating leverage on fixed capacity</t>
  </si>
  <si>
    <t>Cloud demand - CapEx intensity</t>
  </si>
  <si>
    <t>Capacity is built to demand</t>
  </si>
  <si>
    <t>Cloud demand - Commissioning</t>
  </si>
  <si>
    <t>Strong demand pulls capacity into service</t>
  </si>
  <si>
    <t>Cloud demand - Customer-funding stress</t>
  </si>
  <si>
    <t>AI customers' financing moves with AI demand</t>
  </si>
  <si>
    <t>Cloud margin - Capital efficiency</t>
  </si>
  <si>
    <t>Stronger margins accompany improved productive-capital efficiency; latent scenario-position correlation.</t>
  </si>
  <si>
    <t>Search - Capital efficiency</t>
  </si>
  <si>
    <t>Stronger demand improves shared infrastructure productivity; analyst correlation.</t>
  </si>
  <si>
    <t>Robustness (10,000 trials, operating EV, USD tn)</t>
  </si>
  <si>
    <t>P10</t>
  </si>
  <si>
    <t>P50</t>
  </si>
  <si>
    <t>P90</t>
  </si>
  <si>
    <t>Trials at or above market-implied EV (3.75tn)</t>
  </si>
  <si>
    <t>Maximum trial</t>
  </si>
  <si>
    <t>As specified</t>
  </si>
  <si>
    <t>No correlations</t>
  </si>
  <si>
    <t>Correlations x1.3</t>
  </si>
  <si>
    <t>WACC also uncertain, ±1pp triangular</t>
  </si>
  <si>
    <t>WACC also uncertain, ±2pp triangular</t>
  </si>
  <si>
    <t>10,000 valid trials each, seed 7. Main/independent/stronger correlations: zero exceedances. Uniform and ±1pp WACC: 2 each; ±2pp: 104 (1.04%). These are conditional sample frequencies.</t>
  </si>
  <si>
    <t>Sources: Historical base and Relative valuation tabs; Alphabet Inc. (2026a, 2026c); peer filings listed in Relative valuation. Python files: alphabet_model.py and monte_carlo.py.</t>
  </si>
  <si>
    <t>Uniform scenario positions</t>
  </si>
  <si>
    <t>Deterministic scenario (USD bn)</t>
  </si>
  <si>
    <t>Initial return</t>
  </si>
  <si>
    <t>Terminal return</t>
  </si>
  <si>
    <t>Post-2031 demand-led revision, 26 October. Valuation date remains 25 October (23 October closes). All three live scenarios reconcile with Python; Base restored. Initial return is a one-year diagnostic, not a terminal constraint.</t>
  </si>
  <si>
    <t>Distribution choice and probability interpretation</t>
  </si>
  <si>
    <t>Triangular positions give greater weight near Base. Uniform positions test equal density across z, using the same seed, latent draws and copula. Normal inputs would require supported dispersion and allow unbounded tails; truncated normal requires dispersion plus bounds. Capping normal draws is not the same as truncating them.</t>
  </si>
  <si>
    <t>No 25/50/25 or other Bear/Base/Bull probabilities are imposed. Each driver's z has half its mass on either side of zero; this is not the probability of a whole scenario. Frequency = qualifying valid trials / all valid trials. P10/P50/P90 are output percentiles, not scenario labels or calibrated real-world probabilities.</t>
  </si>
  <si>
    <t>One position per driver applies throughout its path, not new annual draws. Asymmetric paths are mapped piecewise: terminal growth is 1.5% / 3% / 3.5%. Copula coefficients are latent-normal correlations, not exact Pearson correlations of financial inputs.</t>
  </si>
  <si>
    <t>Shape test reproduced with robustness.py: uniform positions change the marginal shape only, using the same seed and latent copula draws. Outputs refreshed for the 25 October 2026 valuation.</t>
  </si>
  <si>
    <t>Alphabet | non-operating assets and valuation-date cash bridge</t>
  </si>
  <si>
    <t>USD millions. Disclosed carrying values are separated from tax-basis estimates and valuation adjustments. Blank tax bases remain unresolved.</t>
  </si>
  <si>
    <t>Selected operating case</t>
  </si>
  <si>
    <t>Investment / category</t>
  </si>
  <si>
    <t>Value / marked estimate</t>
  </si>
  <si>
    <t>Tax basis input</t>
  </si>
  <si>
    <t>Tax rate</t>
  </si>
  <si>
    <t>Value haircut</t>
  </si>
  <si>
    <t>Adjusted value</t>
  </si>
  <si>
    <t>Tax deduction</t>
  </si>
  <si>
    <t>Net credit</t>
  </si>
  <si>
    <t>Basis / limitation</t>
  </si>
  <si>
    <t>Marketable debt</t>
  </si>
  <si>
    <t>Fair value from maturity/recurring-value tables. Tax basis is not the USD 116,454m from the differently scoped AOCI table.</t>
  </si>
  <si>
    <t>SpaceX — current</t>
  </si>
  <si>
    <t>Short-term sale restrictions; tax basis not separately disclosed. Fair-value mark is not the amount of taxable gain.</t>
  </si>
  <si>
    <t>Other current marketable equities</t>
  </si>
  <si>
    <t>Residual of USD 87,063m current equities less USD 80,000m SpaceX. Portfolio aggregate, not individual holdings.</t>
  </si>
  <si>
    <t>SpaceX — non-current</t>
  </si>
  <si>
    <t>Reported non-current marketable equities include USD 14.1bn SpaceX restricted through Q3 2027. Other non-current assets, not non-marketable securities.</t>
  </si>
  <si>
    <t>Private equities — measurement alternative</t>
  </si>
  <si>
    <t>Initial accounting cost used only as a provisional tax-basis proxy. Subject to entity, jurisdiction and disposal structure.</t>
  </si>
  <si>
    <t>Equity-method investments and other</t>
  </si>
  <si>
    <t>Separate portfolio category; carrying value and tax basis require review.</t>
  </si>
  <si>
    <t>Total investment credit</t>
  </si>
  <si>
    <t>Tax is assessed on adjusted disposal proceeds less tax basis; no automatic tax benefit for losses.</t>
  </si>
  <si>
    <t>Tax-basis sensitivity</t>
  </si>
  <si>
    <t>Interpretation</t>
  </si>
  <si>
    <t>All investments: no additional gains tax</t>
  </si>
  <si>
    <t>Upper credit under the selected valuation haircuts; not a tax conclusion.</t>
  </si>
  <si>
    <t>All investments: zero tax basis</t>
  </si>
  <si>
    <t>Lower credit under a 21% gain-tax stress; not a forecast and not a floor against investment losses.</t>
  </si>
  <si>
    <t>AOCI scope reconciliation</t>
  </si>
  <si>
    <t>Adjusted cost excluding time deposits</t>
  </si>
  <si>
    <t>Different scope from current marketable debt: includes eligible cash equivalents; fair-value-option holdings differ.</t>
  </si>
  <si>
    <t>Fair value excluding time deposits</t>
  </si>
  <si>
    <t>Compare only with row 21; not with current marketable debt of 99,500.</t>
  </si>
  <si>
    <t>Matched-scope accounting loss</t>
  </si>
  <si>
    <t>Does not establish tax basis or taxable gains for the separately classified current portfolio.</t>
  </si>
  <si>
    <t>June-to-25 October cash bridge</t>
  </si>
  <si>
    <t>Basis / assumption</t>
  </si>
  <si>
    <t>June cash and cash equivalents</t>
  </si>
  <si>
    <t>Reported balance; includes debt instruments classified as cash equivalents.</t>
  </si>
  <si>
    <t>Known July Android settlement</t>
  </si>
  <si>
    <t>Cash payment reduces both cash and accrued legal claims.</t>
  </si>
  <si>
    <t>Modelled elapsed H2 FCFF</t>
  </si>
  <si>
    <t>Full H2 model FCFF less the remaining 25 October–December stub; estimated accrual of operating cash flows, not reported October cash.</t>
  </si>
  <si>
    <t>Required operating cash / TTM revenue</t>
  </si>
  <si>
    <t>Provisional 2% liquidity reserve; analyst assumption to sensitivity-test, not company guidance.</t>
  </si>
  <si>
    <t>Reserve calculated on TTM sales; excluded from credited excess cash.</t>
  </si>
  <si>
    <t>Known-event excess cash subtotal</t>
  </si>
  <si>
    <t>June cash adjusted only for the known July settlement and operating reserve; incomplete-date sensitivity.</t>
  </si>
  <si>
    <t>Valuation-date excess cash</t>
  </si>
  <si>
    <t>June cash + known settlement + modelled elapsed FCFF + Waymo loan − preferred dividend − estimated common dividend. Unknown financing/repurchases remain a proxy; not a reported October balance.</t>
  </si>
  <si>
    <t>June accrued legal claims</t>
  </si>
  <si>
    <t>Carrying-value proxy; settlement timing, appeals and tax effects remain judgemental.</t>
  </si>
  <si>
    <t>July claim extinguished</t>
  </si>
  <si>
    <t>Same payment as row 28, with opposite bridge sign.</t>
  </si>
  <si>
    <t>Unpaid legal claim proxy</t>
  </si>
  <si>
    <t>Feeds financing/minority/settlement claims; excluded from recurring NOWC.</t>
  </si>
  <si>
    <t>Known-event asset-credit sensitivity</t>
  </si>
  <si>
    <t>No gains tax</t>
  </si>
  <si>
    <t>Known-event cash plus investment credit; excludes modelled elapsed cash and October financing.</t>
  </si>
  <si>
    <t>Zero tax basis stress</t>
  </si>
  <si>
    <t>Same investment haircuts; zero tax basis stress, not a full October bridge.</t>
  </si>
  <si>
    <t>Additional non-operating assets</t>
  </si>
  <si>
    <t>Value input</t>
  </si>
  <si>
    <t>Capped-call hedge value</t>
  </si>
  <si>
    <t>Premium paid is not current fair value. Separate claim offset only when valued; no automatic credit.</t>
  </si>
  <si>
    <t>GFiber disposal interest / other assets</t>
  </si>
  <si>
    <t>Only add if corresponding operations are removed from the DCF; otherwise a second credit would duplicate value.</t>
  </si>
  <si>
    <t>Source</t>
  </si>
  <si>
    <t>https://www.sec.gov/Archives/edgar/data/1652044/000165204426000071/goog-20260630.htm</t>
  </si>
  <si>
    <t>Valuation haircuts currently default to zero as a neutral starting point, not a conclusion that restrictions are costless. Tax-basis stresses keep unresolved information visible.</t>
  </si>
  <si>
    <t>Deferred tax is not also deducted as a blanket financing claim. Investment-level adjustments must still be reconciled with relevant tax liabilities and settlement timing.</t>
  </si>
  <si>
    <t>Conditional customer / investee financing</t>
  </si>
  <si>
    <t>Disclosed contingent funding through 2030</t>
  </si>
  <si>
    <t>The filing does not name the private counterparty. Do not assert an Anthropic allocation.</t>
  </si>
  <si>
    <t>Scenario probability of funding</t>
  </si>
  <si>
    <t>Milestone-dependent draw stress, not a company probability.</t>
  </si>
  <si>
    <t>Scenario cash funding exposure</t>
  </si>
  <si>
    <t>Gross funding obtains investment rights. Net valuation impact awaits reconciliation with existing derivatives and acquired interests.</t>
  </si>
  <si>
    <t>Annual funding</t>
  </si>
  <si>
    <t>Illustrative cash outlay</t>
  </si>
  <si>
    <t>Even timing assumption, not a contractual maturity schedule.</t>
  </si>
  <si>
    <t>Portfolio haircut and Cloud funding pressures use the same scenario selector. They affect distinct assets/cash flows; neither proves circular revenue or fraud.</t>
  </si>
  <si>
    <t>No blanket subtraction of funding is added to operating FCFF. The bridge uses proxy tax bases and book-value NCI; contingent funding rights receive no separate credit (disclosed approximations).</t>
  </si>
  <si>
    <t>25 October refresh: market marks and cash movements</t>
  </si>
  <si>
    <t>SpaceX June 30 close (USD)</t>
  </si>
  <si>
    <t>https://finance.yahoo.com/quote/SPCX/history/</t>
  </si>
  <si>
    <t>SpaceX October 23 close (USD)</t>
  </si>
  <si>
    <t>https://www.google.com/finance/quote/SPCX:NASDAQ</t>
  </si>
  <si>
    <t>Holding assumption</t>
  </si>
  <si>
    <t>Unchanged share quantities</t>
  </si>
  <si>
    <t>June current/non-current classification retained; restricted shares still carry sale restrictions. Market mark assumes no intervening trades.</t>
  </si>
  <si>
    <t>SpaceX mark / June mark</t>
  </si>
  <si>
    <t>Applied to June disclosed current and non-current holdings; tax bases unchanged.</t>
  </si>
  <si>
    <t>Waymo October term loan proceeds</t>
  </si>
  <si>
    <t>Closed 8 October; add cash and debt equally. https://blog.waymo.com/blog/2026/10/waymo-closes-5-billion-debt-financing/</t>
  </si>
  <si>
    <t>August preferred dividend</t>
  </si>
  <si>
    <t>385m depositary shares /20 × USD12.15 preferred-share first dividend, paid August 15; Q2 Note 11.</t>
  </si>
  <si>
    <t>September common dividend estimate</t>
  </si>
  <si>
    <t>USD0.22/share declared for September 14. June quarterly cash amount used as proxy because later actual total is not yet reported; Q2 Note 11/equity statement.</t>
  </si>
  <si>
    <t>Other post-June financing / repurchases</t>
  </si>
  <si>
    <t>Unobserved net movements held at zero, not asserted to be absent. Refresh with Q3 filing; settlement, dividends and Waymo financing treated separately.</t>
  </si>
  <si>
    <t>Alphabet | historical baseline</t>
  </si>
  <si>
    <t>USD millions. Financial statements retain their reported basis; derived periods are calculated here.</t>
  </si>
  <si>
    <t>Operating history</t>
  </si>
  <si>
    <t>FY2024</t>
  </si>
  <si>
    <t>FY2025</t>
  </si>
  <si>
    <t>H1 2025</t>
  </si>
  <si>
    <t>H1 2026</t>
  </si>
  <si>
    <t>Subscriptions / platforms / devices</t>
  </si>
  <si>
    <t>Hedging gains / losses</t>
  </si>
  <si>
    <t>Revenue segment reconciliation</t>
  </si>
  <si>
    <t>Operating profitability</t>
  </si>
  <si>
    <t>Services operating profit</t>
  </si>
  <si>
    <t>Cloud operating profit</t>
  </si>
  <si>
    <t>Other Bets operating profit / loss</t>
  </si>
  <si>
    <t>Alphabet-level operating loss</t>
  </si>
  <si>
    <t>EBIT segment reconciliation</t>
  </si>
  <si>
    <t>Services operating margin</t>
  </si>
  <si>
    <t>Consolidated margin</t>
  </si>
  <si>
    <t>Cloud revenue share</t>
  </si>
  <si>
    <t>NOPAT (21% benchmark)</t>
  </si>
  <si>
    <t>Reported cash generation</t>
  </si>
  <si>
    <t>Operating cash flow</t>
  </si>
  <si>
    <t>Reported FCF</t>
  </si>
  <si>
    <t>SBC</t>
  </si>
  <si>
    <t>FCF less SBC</t>
  </si>
  <si>
    <t>PP&amp;E depreciation</t>
  </si>
  <si>
    <t>Net income</t>
  </si>
  <si>
    <t>Deferred tax adjustment</t>
  </si>
  <si>
    <t>Investment gain / loss reversal</t>
  </si>
  <si>
    <t>Other non-cash adjustment (unclassified)</t>
  </si>
  <si>
    <t>Receivable cash movement</t>
  </si>
  <si>
    <t>Inventory cash movement</t>
  </si>
  <si>
    <t>Other asset cash movement</t>
  </si>
  <si>
    <t>Payable cash movement</t>
  </si>
  <si>
    <t>Accrued liability cash movement</t>
  </si>
  <si>
    <t>Revenue-share cash movement</t>
  </si>
  <si>
    <t>Deferred-revenue cash movement</t>
  </si>
  <si>
    <t>Cash movement proxy, excluding tax</t>
  </si>
  <si>
    <t>Income-tax cash movement</t>
  </si>
  <si>
    <t>Reconstructed operating cash flow</t>
  </si>
  <si>
    <t>Reported OCF reconciliation</t>
  </si>
  <si>
    <t>FCFF proxy before classification review</t>
  </si>
  <si>
    <t>Bridge from reported FCF to proxy</t>
  </si>
  <si>
    <t>FCFF proxy bridge difference</t>
  </si>
  <si>
    <t>FCFF proxy is not a final adjusted FCFF: Other and other asset/liability movements require operating/non-operating classification.</t>
  </si>
  <si>
    <t>SBC remains an expense. Do not add it back to forecast NOPAT. No balance-sheet capital change is substituted for cash CapEx.</t>
  </si>
  <si>
    <t>Capital employed</t>
  </si>
  <si>
    <t>Dec 2024</t>
  </si>
  <si>
    <t>Jun 2025</t>
  </si>
  <si>
    <t>Dec 2025</t>
  </si>
  <si>
    <t>Jun 2026</t>
  </si>
  <si>
    <t>Non-cash current assets</t>
  </si>
  <si>
    <t>Current liabilities</t>
  </si>
  <si>
    <t>Financing/tax/lease/CapEx exclusions</t>
  </si>
  <si>
    <t>Adjusted operating current liabilities</t>
  </si>
  <si>
    <t>Operating working-capital proxy</t>
  </si>
  <si>
    <t>Net PP&amp;E</t>
  </si>
  <si>
    <t>Tangible operating capital</t>
  </si>
  <si>
    <t>Assets not in service</t>
  </si>
  <si>
    <t>Net PP&amp;E in service</t>
  </si>
  <si>
    <t>Not-in-service share</t>
  </si>
  <si>
    <t>Return on tangible capital</t>
  </si>
  <si>
    <t>FY2025, forecast basis</t>
  </si>
  <si>
    <t>TTM Jun26, forecast basis</t>
  </si>
  <si>
    <t>Legal accrual and held-for-sale inputs</t>
  </si>
  <si>
    <t>USD m</t>
  </si>
  <si>
    <t>Accrued fines and settlements, Dec 2024 (FY2025 10-K recast)</t>
  </si>
  <si>
    <t>Opening capital</t>
  </si>
  <si>
    <t>EC fines plus privacy settlement, Jun 2025 (Q2 2025 10-Q; lower bound)</t>
  </si>
  <si>
    <t>Closing capital</t>
  </si>
  <si>
    <t>Accrued fines and settlements, Dec 2025</t>
  </si>
  <si>
    <t>Average capital</t>
  </si>
  <si>
    <t>Accrued fines and settlements, Jun 2026</t>
  </si>
  <si>
    <t>After-tax tangible return</t>
  </si>
  <si>
    <t>GFiber held-for-sale PP&amp;E, Jun 2026</t>
  </si>
  <si>
    <t>Published proxy remains in B:C. Forecast-basis D:E excludes legal accruals and held-for-sale PP&amp;E and includes the required cash reserve; changes in balance-sheet capital are not cash reinvestment.</t>
  </si>
  <si>
    <t>Report reconciliation</t>
  </si>
  <si>
    <t>FY2025 difference</t>
  </si>
  <si>
    <t>TTM difference</t>
  </si>
  <si>
    <t>Five-year trajectory</t>
  </si>
  <si>
    <t>FY2021</t>
  </si>
  <si>
    <t>FY2022</t>
  </si>
  <si>
    <t>FY2023</t>
  </si>
  <si>
    <t>Four-year CAGR</t>
  </si>
  <si>
    <t>Operating income</t>
  </si>
  <si>
    <t>Services revenue</t>
  </si>
  <si>
    <t>Services EBIT</t>
  </si>
  <si>
    <t>Cloud revenue</t>
  </si>
  <si>
    <t>Cloud EBIT</t>
  </si>
  <si>
    <t>Required operating cash (USD m)</t>
  </si>
  <si>
    <t>Annual / TTM revenue</t>
  </si>
  <si>
    <t>Required cash at bridge reserve ratio</t>
  </si>
  <si>
    <t>H1 2024 revenue (source input)</t>
  </si>
  <si>
    <t>Historical FCFF classification (USD m)</t>
  </si>
  <si>
    <t>NOPAT at common 21% tax benchmark</t>
  </si>
  <si>
    <t>Identifiable operating cash movements</t>
  </si>
  <si>
    <t>Subtotal before unallocated items</t>
  </si>
  <si>
    <t>Other non-cash adjustments (unallocated)</t>
  </si>
  <si>
    <t>Other asset cash movements (mixed)</t>
  </si>
  <si>
    <t>Accrued liability movements (mixed)</t>
  </si>
  <si>
    <t>Unallocated residual</t>
  </si>
  <si>
    <t>Historical FCFF proxy before reserve</t>
  </si>
  <si>
    <t>Increase in required cash reserve</t>
  </si>
  <si>
    <t>FCFF proxy after required cash funding</t>
  </si>
  <si>
    <t>Bridge check (must equal zero)</t>
  </si>
  <si>
    <t>Identifiable movements include receivables, inventory, payables, revenue share and deferred revenue. Other non-cash items, other assets and accrued liabilities remain mixed; the residual is not assumed entirely recurring.</t>
  </si>
  <si>
    <t>The proxy uses standardised operating tax, retains SBC expense and removes separately disclosed investment gains and financing effects through the earnings-to-OCF bridge (rows 58–60). It is not a fully classified historical FCFF measure.</t>
  </si>
  <si>
    <t>Required operating cash is an analyst reserve assumption, not a disclosed restricted-cash balance. Rows 134–135 show its funding separately; reported OCF minus CapEx is unchanged.</t>
  </si>
  <si>
    <t>Income statement</t>
  </si>
  <si>
    <t>USD millions except earnings per share. Q4 filing columns contain full-year 10-K totals.</t>
  </si>
  <si>
    <t>Reported line item</t>
  </si>
  <si>
    <t>Q3:24</t>
  </si>
  <si>
    <t>Q4:24</t>
  </si>
  <si>
    <t>Q1:25</t>
  </si>
  <si>
    <t>Q2:25</t>
  </si>
  <si>
    <t>Q3:25</t>
  </si>
  <si>
    <t>Q4:25</t>
  </si>
  <si>
    <t>Q1:26</t>
  </si>
  <si>
    <t>Q2:26</t>
  </si>
  <si>
    <t>Reporting basis</t>
  </si>
  <si>
    <t>3 months</t>
  </si>
  <si>
    <t>full year</t>
  </si>
  <si>
    <t>Revenues</t>
  </si>
  <si>
    <t>Operating expenses and profit</t>
  </si>
  <si>
    <t>Cost of revenues</t>
  </si>
  <si>
    <t>Research and development</t>
  </si>
  <si>
    <t>Sales and marketing</t>
  </si>
  <si>
    <t>General and administrative</t>
  </si>
  <si>
    <t>Total costs and expenses</t>
  </si>
  <si>
    <t>Income from operations</t>
  </si>
  <si>
    <t>Other income and tax</t>
  </si>
  <si>
    <t>Other income (expense), net</t>
  </si>
  <si>
    <t>Income before income taxes</t>
  </si>
  <si>
    <t>Provision for income taxes</t>
  </si>
  <si>
    <t>Common shareholder results</t>
  </si>
  <si>
    <t>Preferred stock dividends</t>
  </si>
  <si>
    <t>Net income available to common stockholders</t>
  </si>
  <si>
    <t>Basic EPS</t>
  </si>
  <si>
    <t>Diluted EPS</t>
  </si>
  <si>
    <t>Balance sheet</t>
  </si>
  <si>
    <t>USD millions. Each column is a point-in-time balance at the filing date.</t>
  </si>
  <si>
    <t>2024-09-30</t>
  </si>
  <si>
    <t>2024-12-31</t>
  </si>
  <si>
    <t>2025-03-31</t>
  </si>
  <si>
    <t>2025-06-30</t>
  </si>
  <si>
    <t>2025-09-30</t>
  </si>
  <si>
    <t>2025-12-31</t>
  </si>
  <si>
    <t>2026-03-31</t>
  </si>
  <si>
    <t>2026-06-30</t>
  </si>
  <si>
    <t>Current assets</t>
  </si>
  <si>
    <t>Cash and cash equivalents</t>
  </si>
  <si>
    <t>Marketable securities</t>
  </si>
  <si>
    <t>Total cash, cash equivalents, and marketable securities</t>
  </si>
  <si>
    <t>Accounts receivable, net</t>
  </si>
  <si>
    <t>Other current assets</t>
  </si>
  <si>
    <t>Total current assets</t>
  </si>
  <si>
    <t>Non-current assets</t>
  </si>
  <si>
    <t>Non-marketable securities</t>
  </si>
  <si>
    <t>Deferred income taxes (asset)</t>
  </si>
  <si>
    <t>Property and equipment, net</t>
  </si>
  <si>
    <t>Operating lease assets</t>
  </si>
  <si>
    <t>Goodwill</t>
  </si>
  <si>
    <t>Intangible assets, net</t>
  </si>
  <si>
    <t>Other non-current assets</t>
  </si>
  <si>
    <t>Total assets</t>
  </si>
  <si>
    <t>Accounts payable</t>
  </si>
  <si>
    <t>Accrued compensation and benefits</t>
  </si>
  <si>
    <t>Accrued expenses and other current liabilities</t>
  </si>
  <si>
    <t>Total current liabilities</t>
  </si>
  <si>
    <t>Non-current liabilities</t>
  </si>
  <si>
    <t>Long-term debt</t>
  </si>
  <si>
    <t>Deferred revenue, non-current</t>
  </si>
  <si>
    <t>Income taxes payable, non-current</t>
  </si>
  <si>
    <t>Deferred income taxes (liability)</t>
  </si>
  <si>
    <t>Operating lease liabilities</t>
  </si>
  <si>
    <t>Other long-term liabilities</t>
  </si>
  <si>
    <t>Total liabilities</t>
  </si>
  <si>
    <t>Equity</t>
  </si>
  <si>
    <t>Preferred stock and additional paid-in capital</t>
  </si>
  <si>
    <t>Class A/B/C stock and additional paid-in capital</t>
  </si>
  <si>
    <t>Accumulated other comprehensive income (loss)</t>
  </si>
  <si>
    <t>Retained earnings</t>
  </si>
  <si>
    <t>Total stockholders' equity</t>
  </si>
  <si>
    <t>Total liabilities and stockholders' equity</t>
  </si>
  <si>
    <t>Cash flow and FCF inputs</t>
  </si>
  <si>
    <t>Reported cash flows, USD millions. Q2/Q3 columns are year-to-date; Q4 filing columns are full year. No FCF is calculated.</t>
  </si>
  <si>
    <t>9 months</t>
  </si>
  <si>
    <t>6 months</t>
  </si>
  <si>
    <t>Operating activities</t>
  </si>
  <si>
    <t>Depreciation of property and equipment</t>
  </si>
  <si>
    <t>Stock-based compensation expense</t>
  </si>
  <si>
    <t>Deferred income taxes</t>
  </si>
  <si>
    <t>Loss (gain) on debt and equity securities, net</t>
  </si>
  <si>
    <t>Other</t>
  </si>
  <si>
    <t>Income taxes, net</t>
  </si>
  <si>
    <t>Other assets</t>
  </si>
  <si>
    <t>Accrued expenses and other liabilities</t>
  </si>
  <si>
    <t>Net cash from operating activities</t>
  </si>
  <si>
    <t>Investing activities</t>
  </si>
  <si>
    <t>Purchases of property and equipment</t>
  </si>
  <si>
    <t>Purchases of marketable securities</t>
  </si>
  <si>
    <t>Maturities and sales of marketable securities</t>
  </si>
  <si>
    <t>Purchases of non-marketable securities</t>
  </si>
  <si>
    <t>Maturities and sales of non-marketable securities</t>
  </si>
  <si>
    <t>Acquisitions, net of cash acquired, and purchases of intangible assets</t>
  </si>
  <si>
    <t>Other investing activities</t>
  </si>
  <si>
    <t>Net cash from investing activities</t>
  </si>
  <si>
    <t>Financing activities</t>
  </si>
  <si>
    <t>Net payments related to stock-based award activities</t>
  </si>
  <si>
    <t>Repurchases of stock</t>
  </si>
  <si>
    <t>Dividend payments</t>
  </si>
  <si>
    <t>Proceeds from issuance of common stock, net of costs</t>
  </si>
  <si>
    <t>Proceeds from issuance of mandatory convertible preferred stock, net of costs</t>
  </si>
  <si>
    <t>Proceeds from issuance of debt, net of costs</t>
  </si>
  <si>
    <t>Repayments of debt</t>
  </si>
  <si>
    <t>Proceeds from sale of interest in consolidated entities, net</t>
  </si>
  <si>
    <t>Other financing activities</t>
  </si>
  <si>
    <t>Net cash from financing activities</t>
  </si>
  <si>
    <t>Cash reconciliation and supplemental</t>
  </si>
  <si>
    <t>Effect of exchange rate changes on cash and cash equivalents</t>
  </si>
  <si>
    <t>Net increase (decrease) in cash and cash equivalents</t>
  </si>
  <si>
    <t>Cash and cash equivalents at beginning of period</t>
  </si>
  <si>
    <t>Cash and cash equivalents at end of period</t>
  </si>
  <si>
    <t>Property and equipment included in accrued liabilities and accounts payable</t>
  </si>
  <si>
    <t>Revenue breakdown</t>
  </si>
  <si>
    <t>USD millions. Product lines are reported for three months except full-year 10-K columns.</t>
  </si>
  <si>
    <t>Google Search &amp; other</t>
  </si>
  <si>
    <t>YouTube ads</t>
  </si>
  <si>
    <t>Google advertising</t>
  </si>
  <si>
    <t>Google subscriptions, platforms, and devices</t>
  </si>
  <si>
    <t>Google Services total</t>
  </si>
  <si>
    <t>Other segments and total</t>
  </si>
  <si>
    <t>Hedging gains (losses)</t>
  </si>
  <si>
    <t>Total revenues</t>
  </si>
  <si>
    <t>Segment breakdown</t>
  </si>
  <si>
    <t>USD millions. Segment results include allocated costs; Q4 filing columns contain full-year totals.</t>
  </si>
  <si>
    <t>Segment revenue</t>
  </si>
  <si>
    <t>Segment operating income</t>
  </si>
  <si>
    <t>Alphabet-level activities</t>
  </si>
  <si>
    <t>Total income from operations</t>
  </si>
  <si>
    <t>Google Services costs</t>
  </si>
  <si>
    <t>Employee compensation expenses</t>
  </si>
  <si>
    <t>Other costs and expenses</t>
  </si>
  <si>
    <t>Total Google Services costs and expenses</t>
  </si>
  <si>
    <t>Google Cloud costs</t>
  </si>
  <si>
    <t>Total Google Cloud costs and expenses</t>
  </si>
  <si>
    <t>Sources and reporting basis</t>
  </si>
  <si>
    <t>Eight filings through June 2026. Blanks mean the line was not reported in that period; zero means a reported zero.</t>
  </si>
  <si>
    <t>Filing period</t>
  </si>
  <si>
    <t>Form</t>
  </si>
  <si>
    <t>Period end</t>
  </si>
  <si>
    <t>Income / revenue / segment</t>
  </si>
  <si>
    <t>Cash flow</t>
  </si>
  <si>
    <t>SEC filing URL</t>
  </si>
  <si>
    <t>10-Q</t>
  </si>
  <si>
    <t>https://www.sec.gov/Archives/edgar/data/1652044/000165204424000118/goog-20240930.htm</t>
  </si>
  <si>
    <t>10-K</t>
  </si>
  <si>
    <t>https://www.sec.gov/Archives/edgar/data/1652044/000165204425000014/goog-20241231.htm</t>
  </si>
  <si>
    <t>https://www.sec.gov/Archives/edgar/data/1652044/000165204425000043/goog-20250331.htm</t>
  </si>
  <si>
    <t>https://www.sec.gov/Archives/edgar/data/1652044/000165204425000062/goog-20250630.htm</t>
  </si>
  <si>
    <t>https://www.sec.gov/Archives/edgar/data/1652044/000165204425000091/goog-20250930.htm</t>
  </si>
  <si>
    <t>https://www.sec.gov/Archives/edgar/data/1652044/000165204426000018/goog-20251231.htm</t>
  </si>
  <si>
    <t>https://www.sec.gov/Archives/edgar/data/1652044/000165204426000048/goog-20260331.htm</t>
  </si>
  <si>
    <t>How to read the sheets</t>
  </si>
  <si>
    <t>Q4:24 and Q4:25 filing columns contain full-year 10-K figures for income, cash flow, revenue, and segments.</t>
  </si>
  <si>
    <t>Q2 and Q3 cash-flow columns are cumulative H1 or nine-month amounts, not individual quarters.</t>
  </si>
  <si>
    <t>Balance-sheet values are as of each period end. There is no standalone FCF calculation in this workbook.</t>
  </si>
  <si>
    <t>Google Search &amp; other includes other Google properties; YouTube ads excludes subscription revenue.</t>
  </si>
  <si>
    <t>Google Cloud revenue includes Platform, Workspace, and other enterprise services. Cash capex and PP&amp;E depreciation are consolidated.</t>
  </si>
  <si>
    <t>Long equity-line descriptions are shortened for display. Original SEC wording remains in the raw extract.</t>
  </si>
  <si>
    <t>Supplementary capital inputs</t>
  </si>
  <si>
    <t>Commercial paper</t>
  </si>
  <si>
    <t>Excluded from operating current liabilities</t>
  </si>
  <si>
    <t>https://www.sec.gov/Archives/edgar/data/1652044/000165204426000018/goog-20251231.htm | https://www.sec.gov/Archives/edgar/data/1652044/000165204425000062/goog-20250630.htm | https://www.sec.gov/Archives/edgar/data/1652044/000165204426000071/goog-20260630.htm</t>
  </si>
  <si>
    <t>Current notes</t>
  </si>
  <si>
    <t>Current finance leases</t>
  </si>
  <si>
    <t>Current operating leases</t>
  </si>
  <si>
    <t>Investment settlement payables</t>
  </si>
  <si>
    <t>Current income taxes payable</t>
  </si>
  <si>
    <t>PP&amp;E in payables</t>
  </si>
  <si>
    <t>Jun25 retains rounded filing component; capital-return proxy</t>
  </si>
  <si>
    <t>Assets not yet in service</t>
  </si>
  <si>
    <t>Assets not ready for intended use</t>
  </si>
  <si>
    <t>Expense / existing-asset schedule</t>
  </si>
  <si>
    <t>Source: Q2 2026 Note 9; FY2025 standalone amortisation not separately extracted; 2031 is not individually disclosed.</t>
  </si>
  <si>
    <t>2026 cash CapEx guidance, low</t>
  </si>
  <si>
    <t>CFO July 2026 call</t>
  </si>
  <si>
    <t>2026 cash CapEx guidance, high</t>
  </si>
  <si>
    <t>https://www.earningswhispers.com/transcript/GOOG/Q22026</t>
  </si>
  <si>
    <t>Short-term purchase / contractual obligations</t>
  </si>
  <si>
    <t>June 2026</t>
  </si>
  <si>
    <t>June 2026 NCI incl. redeemable NCI</t>
  </si>
  <si>
    <t>Book value; not market claim</t>
  </si>
  <si>
    <t>June 2026 finance lease liabilities</t>
  </si>
  <si>
    <t>Financing claim; PP&amp;E includes leased assets</t>
  </si>
  <si>
    <t>Intangible amortisation thereafter</t>
  </si>
  <si>
    <t>Existing assets after 2030</t>
  </si>
  <si>
    <t>Historical sources copied from previously verified report inputs; forecasts and tax rates are analyst assumptions.</t>
  </si>
  <si>
    <t>Annual reported history</t>
  </si>
  <si>
    <t>2021–2022 recast: https://www.sec.gov/Archives/edgar/data/1652044/000165204424000022/goog-20231231.htm | 2023–2025: https://www.sec.gov/Archives/edgar/data/1652044/000165204426000018/goog-20251231.htm</t>
  </si>
  <si>
    <t>Report control</t>
  </si>
  <si>
    <t>Units / source</t>
  </si>
  <si>
    <t>USD million; Working tab Appendix C / underlying calculation</t>
  </si>
  <si>
    <t>NOPAT at 21%</t>
  </si>
  <si>
    <t>Average tangible capital</t>
  </si>
  <si>
    <t>Operating working-capital refinements</t>
  </si>
  <si>
    <t>GFiber PP&amp;E held for sale</t>
  </si>
  <si>
    <t>https://www.sec.gov/Archives/edgar/data/1652044/000165204426000071/goog-20260630.htm — Note 8; zero before reclassification</t>
  </si>
  <si>
    <t>Accrued fines and settlements</t>
  </si>
  <si>
    <t>https://www.sec.gov/Archives/edgar/data/1652044/000165204426000071/goog-20260630.htm — Note 7</t>
  </si>
  <si>
    <t>CapEx creditors in accrued liabilities</t>
  </si>
  <si>
    <t>https://www.sec.gov/Archives/edgar/data/1652044/000165204426000071/goog-20260630.htm — Note 7; remainder of total PP&amp;E creditors sits in AP</t>
  </si>
  <si>
    <t>July 2026 Android settlement</t>
  </si>
  <si>
    <t>https://www.sec.gov/Archives/edgar/data/1652044/000165204426000071/goog-20260630.htm — Note 10; settled after June balance sheet</t>
  </si>
  <si>
    <t>H1 2026 TAC</t>
  </si>
  <si>
    <t>https://www.sec.gov/Archives/edgar/data/1652044/000165204426000071/goog-20260630.htm — MD&amp;A cost of revenues</t>
  </si>
  <si>
    <t>23 October 2026 US Treasury 10-year</t>
  </si>
  <si>
    <t>https://home.treasury.gov/resource-center/data-chart-center/interest-rates/TextView?type=daily_treasury_yield_curve&amp;field_tdr_date_value_month=202610</t>
  </si>
  <si>
    <t>Waymo Feb 2026 post-money equity value</t>
  </si>
  <si>
    <t>https://waymo.com/blog/2026/02/waymo-raises-usd16-billion-investment-round/</t>
  </si>
  <si>
    <t>Waymo Feb 2026 funding raised</t>
  </si>
  <si>
    <t>Same announcement; funding amount is not equity valuation</t>
  </si>
  <si>
    <t>Cloud backlog June 2026</t>
  </si>
  <si>
    <t>https://www.sec.gov/Archives/edgar/data/1652044/000165204426000071/goog-20260630.htm — Note 2</t>
  </si>
  <si>
    <t>Group backlog June 2026</t>
  </si>
  <si>
    <t>https://www.sec.gov/Archives/edgar/data/1652044/000165204426000071/goog-20260630.htm — Note 2; just over 50% expected within 24 months</t>
  </si>
  <si>
    <t>Group backlog reference conversion share</t>
  </si>
  <si>
    <t>Conservative 50% reference, not exact timing guidance or incremental sales</t>
  </si>
  <si>
    <t>Market-input cutoff</t>
  </si>
  <si>
    <t>25 October 2026 information; 23 October closes</t>
  </si>
  <si>
    <t>Latest completed trading day before Sunday valuation date. Alphabet June remains latest reported quarter; no Q3 results assumed.</t>
  </si>
  <si>
    <t>Dec 2025 inventory — Q2 2026 comparative</t>
  </si>
  <si>
    <t>Q2 2026 Form 10-Q, balance sheet; reclassified comparative, not zero inventory.</t>
  </si>
  <si>
    <t>Dec 2025 other current assets — reclassified</t>
  </si>
  <si>
    <t>AWS H1 2026 revenue</t>
  </si>
  <si>
    <t>https://ir.aboutamazon.com/news-release/news-release-details/2026/Amazon-com-Announces-Second-Quarter-Results/default.aspx</t>
  </si>
  <si>
    <t>AWS H1 2026 operating income</t>
  </si>
  <si>
    <t>Same release; comparable segment margin check, not identical cost allocation.</t>
  </si>
  <si>
    <t>Conditional private-company funding through 2030</t>
  </si>
  <si>
    <t>https://www.sec.gov/Archives/edgar/data/1652044/000165204426000071/goog-20260630.htm — Notes 3/5; counterparty unnamed in filing.</t>
  </si>
  <si>
    <t>Google / Anthropic capacity expansion</t>
  </si>
  <si>
    <t>https://www.googlecloudpresscorner.com/2026-04-06-Anthropic-Expands-Use-of-Google-Cloud-and-TPUs — capacity starts 2027.</t>
  </si>
  <si>
    <t>Alphabet | WACC × terminal growth sensitivity (selected operating case)</t>
  </si>
  <si>
    <t>USD millions unless stated. Each growth row rebuilds post-2031 demand, commissioning, cohort depreciation and purchases; each WACC column revalues the resulting cash flows. Base is the report case.</t>
  </si>
  <si>
    <t>Base WACC</t>
  </si>
  <si>
    <t>2031 revenue growth</t>
  </si>
  <si>
    <t>2031 revenue</t>
  </si>
  <si>
    <t>2031 pre-depreciation operating margin</t>
  </si>
  <si>
    <t>Common equity value (USD trillion)</t>
  </si>
  <si>
    <t>Terminal growth \ WACC</t>
  </si>
  <si>
    <t>Equity value vs market capitalisation</t>
  </si>
  <si>
    <t>Check: centre cell less Valuation equity (USD m)</t>
  </si>
  <si>
    <t>Cells at or above market capitalisation</t>
  </si>
  <si>
    <t>Years from valuation date (transition)</t>
  </si>
  <si>
    <t>Explicit FCFF after valuation date</t>
  </si>
  <si>
    <t>Years from valuation date (explicit)</t>
  </si>
  <si>
    <t>Growth sensitivity 1</t>
  </si>
  <si>
    <t>Year</t>
  </si>
  <si>
    <t>Transition fraction</t>
  </si>
  <si>
    <t>Required productive net PP&amp;E</t>
  </si>
  <si>
    <t>Opening PP&amp;E</t>
  </si>
  <si>
    <t>Opening CIP</t>
  </si>
  <si>
    <t>Prior-cohort depreciation</t>
  </si>
  <si>
    <t>New-cohort half-year D&amp;A factor</t>
  </si>
  <si>
    <t>Required commissioning</t>
  </si>
  <si>
    <t>Cash CapEx after existing CIP</t>
  </si>
  <si>
    <t>Closing CIP</t>
  </si>
  <si>
    <t>Closing PP&amp;E</t>
  </si>
  <si>
    <t>Operating working capital</t>
  </si>
  <si>
    <t>WC investment</t>
  </si>
  <si>
    <t>Margin before acquired amortisation</t>
  </si>
  <si>
    <t>Terminal NOPAT before acquired amortisation</t>
  </si>
  <si>
    <t>Terminal capital productivity</t>
  </si>
  <si>
    <t>Growth sensitivity 2</t>
  </si>
  <si>
    <t>Growth sensitivity 3</t>
  </si>
  <si>
    <t>Growth sensitivity 4</t>
  </si>
  <si>
    <t>Growth sensitivity 5</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</si>
</sst>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
    <numFmt numFmtId="165" formatCode="dd mmm yyyy"/>
    <numFmt numFmtId="166" formatCode="#,##0;(#,##0);&quot;-&quot;"/>
    <numFmt numFmtId="167" formatCode="0.0%"/>
    <numFmt numFmtId="168" formatCode="#,##0.0;(#,##0.0);&quot;-&quot;"/>
    <numFmt numFmtId="169" formatCode="0.00&quot;x&quot;"/>
    <numFmt numFmtId="170" formatCode="0.0&quot; years&quot;"/>
    <numFmt numFmtId="171" formatCode="0.0&quot; days&quot;"/>
    <numFmt numFmtId="172" formatCode="0.0%;(0.0%);&quot;–&quot;"/>
    <numFmt numFmtId="173" formatCode="0.0000"/>
    <numFmt numFmtId="174" formatCode="#,##0;(#,##0);&quot;–&quot;"/>
    <numFmt numFmtId="175" formatCode="0.0"/>
    <numFmt numFmtId="176" formatCode="0.00;(0.00);–"/>
    <numFmt numFmtId="177" formatCode="#,##0;(#,##0)"/>
    <numFmt numFmtId="178" formatCode="0.000&quot;x&quot;"/>
    <numFmt numFmtId="179" formatCode="#,##0.0"/>
    <numFmt numFmtId="180" formatCode="0.0&quot;x&quot;"/>
    <numFmt numFmtId="181" formatCode="#,##0;(#,##0);0"/>
    <numFmt numFmtId="182" formatCode="0.00;(0.00);0.00"/>
    <numFmt numFmtId="183" formatCode="0%;(0%)"/>
    <numFmt numFmtId="184" formatCode="#,##0.000;(#,##0.000)"/>
    <numFmt numFmtId="185" formatCode="#,##0.0;(#,##0.0);–"/>
  </numFmts>
  <fonts count="43">
    <font>
      <sz val="10.0"/>
      <color rgb="FF000000"/>
      <name val="Arial"/>
      <scheme val="minor"/>
    </font>
    <font>
      <b/>
      <sz val="16.0"/>
      <color rgb="FF17344E"/>
      <name val="Aptos"/>
    </font>
    <font>
      <sz val="10.0"/>
      <color rgb="FF17344E"/>
      <name val="Aptos"/>
    </font>
    <font>
      <sz val="11.0"/>
      <color rgb="FF17344E"/>
      <name val="Aptos"/>
    </font>
    <font>
      <sz val="11.0"/>
      <color rgb="FF006633"/>
      <name val="Aptos"/>
    </font>
    <font>
      <b/>
      <sz val="11.0"/>
      <color rgb="FFFFFFFF"/>
      <name val="Aptos"/>
    </font>
    <font>
      <sz val="11.0"/>
      <color rgb="FF1959A3"/>
      <name val="Aptos"/>
    </font>
    <font>
      <b/>
      <sz val="11.0"/>
      <color rgb="FF17344E"/>
      <name val="Aptos"/>
    </font>
    <font>
      <b/>
      <sz val="11.0"/>
      <color rgb="FF006633"/>
      <name val="Aptos"/>
    </font>
    <font>
      <color theme="1"/>
      <name val="Arial"/>
      <scheme val="minor"/>
    </font>
    <font>
      <b/>
      <color rgb="FFFFFFFF"/>
      <name val="Arial"/>
      <scheme val="minor"/>
    </font>
    <font>
      <b/>
      <color theme="1"/>
      <name val="Arial"/>
      <scheme val="minor"/>
    </font>
    <font>
      <b/>
      <sz val="12.0"/>
      <color theme="1"/>
      <name val="Arial"/>
      <scheme val="minor"/>
    </font>
    <font>
      <sz val="11.0"/>
      <color rgb="FF1E5199"/>
      <name val="Aptos"/>
    </font>
    <font>
      <b/>
      <sz val="10.0"/>
      <color rgb="FFFFFFFF"/>
      <name val="Arial"/>
    </font>
    <font>
      <sz val="10.0"/>
      <color theme="1"/>
      <name val="Arial"/>
    </font>
    <font>
      <sz val="10.0"/>
      <color rgb="FF003FBF"/>
      <name val="Arial"/>
      <scheme val="minor"/>
    </font>
    <font>
      <b/>
      <sz val="10.0"/>
      <color theme="1"/>
      <name val="Arial"/>
      <scheme val="minor"/>
    </font>
    <font>
      <sz val="10.0"/>
      <color rgb="FF007200"/>
      <name val="Arial"/>
      <scheme val="minor"/>
    </font>
    <font>
      <color rgb="FF0000FF"/>
      <name val="Arial"/>
      <scheme val="minor"/>
    </font>
    <font>
      <b/>
      <sz val="16.0"/>
      <color rgb="FF163347"/>
      <name val="Arial"/>
      <scheme val="minor"/>
    </font>
    <font>
      <sz val="11.0"/>
      <color theme="1"/>
      <name val="Arial"/>
    </font>
    <font>
      <b/>
      <sz val="11.0"/>
      <color theme="1"/>
      <name val="Arial"/>
    </font>
    <font>
      <i/>
      <sz val="11.0"/>
      <color rgb="FF16344E"/>
      <name val="Aptos"/>
    </font>
    <font>
      <i/>
      <sz val="11.0"/>
      <color rgb="FF727272"/>
      <name val="Aptos"/>
    </font>
    <font>
      <sz val="10.0"/>
      <color theme="1"/>
      <name val="Arial"/>
      <scheme val="minor"/>
    </font>
    <font>
      <sz val="10.0"/>
      <color rgb="FF006600"/>
      <name val="Arial"/>
      <scheme val="minor"/>
    </font>
    <font>
      <b/>
      <sz val="11.0"/>
      <color rgb="FF195B44"/>
      <name val="Aptos"/>
    </font>
    <font>
      <sz val="11.0"/>
      <color rgb="FF195B44"/>
      <name val="Aptos"/>
    </font>
    <font>
      <sz val="11.0"/>
      <color theme="1"/>
      <name val="Aptos"/>
    </font>
    <font>
      <b/>
      <sz val="11.0"/>
      <color theme="1"/>
      <name val="Aptos"/>
    </font>
    <font>
      <b/>
      <sz val="11.0"/>
      <color rgb="FFFFFFFF"/>
      <name val="Arial"/>
      <scheme val="minor"/>
    </font>
    <font>
      <sz val="11.0"/>
      <color rgb="FF0000FF"/>
      <name val="Aptos"/>
    </font>
    <font>
      <b/>
      <sz val="17.0"/>
      <color rgb="FF18354F"/>
      <name val="Aptos"/>
    </font>
    <font>
      <sz val="10.0"/>
      <color rgb="FF516779"/>
      <name val="Aptos"/>
    </font>
    <font>
      <b/>
      <sz val="10.0"/>
      <color rgb="FFFFFFFF"/>
      <name val="Aptos"/>
    </font>
    <font>
      <sz val="9.0"/>
      <color rgb="FF18354F"/>
      <name val="Aptos"/>
    </font>
    <font>
      <sz val="10.0"/>
      <color rgb="FF18354F"/>
      <name val="Aptos"/>
    </font>
    <font>
      <sz val="10.0"/>
      <color rgb="FF1A5AA2"/>
      <name val="Aptos"/>
    </font>
    <font>
      <b/>
      <sz val="10.0"/>
      <color rgb="FF18354F"/>
      <name val="Aptos"/>
    </font>
    <font>
      <b/>
      <sz val="10.0"/>
      <color rgb="FF1A5AA2"/>
      <name val="Aptos"/>
    </font>
    <font>
      <u/>
      <sz val="11.0"/>
      <color rgb="FF17344E"/>
      <name val="Aptos"/>
    </font>
    <font>
      <u/>
      <color rgb="FF0000FF"/>
    </font>
  </fonts>
  <fills count="20">
    <fill>
      <patternFill patternType="none"/>
    </fill>
    <fill>
      <patternFill patternType="lightGray"/>
    </fill>
    <fill>
      <patternFill patternType="solid">
        <fgColor rgb="FF17344E"/>
        <bgColor rgb="FF17344E"/>
      </patternFill>
    </fill>
    <fill>
      <patternFill patternType="solid">
        <fgColor rgb="FFFFF7D6"/>
        <bgColor rgb="FFFFF7D6"/>
      </patternFill>
    </fill>
    <fill>
      <patternFill patternType="solid">
        <fgColor rgb="FFE9F2F4"/>
        <bgColor rgb="FFE9F2F4"/>
      </patternFill>
    </fill>
    <fill>
      <patternFill patternType="solid">
        <fgColor rgb="FF163347"/>
        <bgColor rgb="FF163347"/>
      </patternFill>
    </fill>
    <fill>
      <patternFill patternType="solid">
        <fgColor rgb="FFE2EFF2"/>
        <bgColor rgb="FFE2EFF2"/>
      </patternFill>
    </fill>
    <fill>
      <patternFill patternType="solid">
        <fgColor rgb="FFFFF2BF"/>
        <bgColor rgb="FFFFF2BF"/>
      </patternFill>
    </fill>
    <fill>
      <patternFill patternType="solid">
        <fgColor rgb="FFE8F2F4"/>
        <bgColor rgb="FFE8F2F4"/>
      </patternFill>
    </fill>
    <fill>
      <patternFill patternType="solid">
        <fgColor rgb="FF193351"/>
        <bgColor rgb="FF193351"/>
      </patternFill>
    </fill>
    <fill>
      <patternFill patternType="solid">
        <fgColor rgb="FFFFF7DB"/>
        <bgColor rgb="FFFFF7DB"/>
      </patternFill>
    </fill>
    <fill>
      <patternFill patternType="solid">
        <fgColor rgb="FFE8F2F9"/>
        <bgColor rgb="FFE8F2F9"/>
      </patternFill>
    </fill>
    <fill>
      <patternFill patternType="solid">
        <fgColor rgb="FFFFF7CE"/>
        <bgColor rgb="FFFFF7CE"/>
      </patternFill>
    </fill>
    <fill>
      <patternFill patternType="solid">
        <fgColor rgb="FFE9F1F4"/>
        <bgColor rgb="FFE9F1F4"/>
      </patternFill>
    </fill>
    <fill>
      <patternFill patternType="solid">
        <fgColor rgb="FF1E3A5B"/>
        <bgColor rgb="FF1E3A5B"/>
      </patternFill>
    </fill>
    <fill>
      <patternFill patternType="solid">
        <fgColor rgb="FF18354F"/>
        <bgColor rgb="FF18354F"/>
      </patternFill>
    </fill>
    <fill>
      <patternFill patternType="solid">
        <fgColor rgb="FF8A612C"/>
        <bgColor rgb="FF8A612C"/>
      </patternFill>
    </fill>
    <fill>
      <patternFill patternType="solid">
        <fgColor rgb="FFEAF3F4"/>
        <bgColor rgb="FFEAF3F4"/>
      </patternFill>
    </fill>
    <fill>
      <patternFill patternType="solid">
        <fgColor rgb="FF087C87"/>
        <bgColor rgb="FF087C87"/>
      </patternFill>
    </fill>
    <fill>
      <patternFill patternType="solid">
        <fgColor rgb="FF44448C"/>
        <bgColor rgb="FF44448C"/>
      </patternFill>
    </fill>
  </fills>
  <borders count="4">
    <border/>
    <border>
      <top style="thin">
        <color rgb="FFBFCCD3"/>
      </top>
    </border>
    <border>
      <top style="thin">
        <color rgb="FFA7C3C6"/>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4" numFmtId="164" xfId="0" applyAlignment="1" applyFont="1" applyNumberFormat="1">
      <alignment shrinkToFit="0" vertical="center" wrapText="0"/>
    </xf>
    <xf borderId="0" fillId="0" fontId="4" numFmtId="165" xfId="0" applyAlignment="1" applyFont="1" applyNumberFormat="1">
      <alignment shrinkToFit="0" vertical="center" wrapText="0"/>
    </xf>
    <xf borderId="0" fillId="2" fontId="5" numFmtId="0" xfId="0" applyAlignment="1" applyFill="1" applyFont="1">
      <alignment shrinkToFit="0" vertical="center" wrapText="1"/>
    </xf>
    <xf borderId="0" fillId="0" fontId="3" numFmtId="0" xfId="0" applyAlignment="1" applyFont="1">
      <alignment readingOrder="0" shrinkToFit="0" vertical="center" wrapText="1"/>
    </xf>
    <xf borderId="0" fillId="3" fontId="3" numFmtId="166" xfId="0" applyAlignment="1" applyFill="1" applyFont="1" applyNumberFormat="1">
      <alignment readingOrder="0" shrinkToFit="0" vertical="center" wrapText="1"/>
    </xf>
    <xf borderId="0" fillId="3" fontId="3" numFmtId="166" xfId="0" applyAlignment="1" applyFill="1" applyFont="1" applyNumberFormat="1">
      <alignment shrinkToFit="0" vertical="center" wrapText="1"/>
    </xf>
    <xf borderId="0" fillId="0" fontId="3" numFmtId="0" xfId="0" applyAlignment="1" applyFont="1">
      <alignment shrinkToFit="0" vertical="center" wrapText="1"/>
    </xf>
    <xf borderId="0" fillId="3" fontId="3" numFmtId="10" xfId="0" applyAlignment="1" applyFill="1" applyFont="1" applyNumberFormat="1">
      <alignment shrinkToFit="0" vertical="center" wrapText="1"/>
    </xf>
    <xf borderId="0" fillId="3" fontId="3" numFmtId="2" xfId="0" applyAlignment="1" applyFill="1" applyFont="1" applyNumberFormat="1">
      <alignment readingOrder="0" shrinkToFit="0" vertical="center" wrapText="1"/>
    </xf>
    <xf borderId="0" fillId="3" fontId="3" numFmtId="10" xfId="0" applyAlignment="1" applyFill="1" applyFont="1" applyNumberFormat="1">
      <alignment readingOrder="0" shrinkToFit="0" vertical="center" wrapText="1"/>
    </xf>
    <xf borderId="0" fillId="3" fontId="4" numFmtId="164" xfId="0" applyAlignment="1" applyFill="1" applyFont="1" applyNumberFormat="1">
      <alignment shrinkToFit="0" vertical="center" wrapText="1"/>
    </xf>
    <xf borderId="0" fillId="0" fontId="3" numFmtId="0" xfId="0" applyAlignment="1" applyFont="1">
      <alignment readingOrder="0" shrinkToFit="0" vertical="center" wrapText="1"/>
    </xf>
    <xf borderId="0" fillId="3" fontId="6" numFmtId="10" xfId="0" applyAlignment="1" applyFill="1" applyFont="1" applyNumberFormat="1">
      <alignment shrinkToFit="0" vertical="center" wrapText="1"/>
    </xf>
    <xf borderId="0" fillId="3" fontId="3" numFmtId="0" xfId="0" applyAlignment="1" applyFill="1" applyFont="1">
      <alignment shrinkToFit="0" vertical="center" wrapText="1"/>
    </xf>
    <xf borderId="0" fillId="0" fontId="3" numFmtId="0" xfId="0" applyAlignment="1" applyFont="1">
      <alignment readingOrder="0" shrinkToFit="0" vertical="center" wrapText="0"/>
    </xf>
    <xf borderId="0" fillId="0" fontId="3" numFmtId="1" xfId="0" applyAlignment="1" applyFont="1" applyNumberFormat="1">
      <alignment readingOrder="0" shrinkToFit="0" vertical="center" wrapText="0"/>
    </xf>
    <xf borderId="0" fillId="0" fontId="3" numFmtId="10" xfId="0" applyAlignment="1" applyFont="1" applyNumberFormat="1">
      <alignment shrinkToFit="0" vertical="center" wrapText="0"/>
    </xf>
    <xf borderId="0" fillId="0" fontId="3" numFmtId="164" xfId="0" applyAlignment="1" applyFont="1" applyNumberFormat="1">
      <alignment shrinkToFit="0" vertical="center" wrapText="0"/>
    </xf>
    <xf borderId="1" fillId="0" fontId="7" numFmtId="0" xfId="0" applyAlignment="1" applyBorder="1" applyFont="1">
      <alignment shrinkToFit="0" vertical="center" wrapText="0"/>
    </xf>
    <xf borderId="1" fillId="0" fontId="8" numFmtId="10" xfId="0" applyAlignment="1" applyBorder="1" applyFont="1" applyNumberFormat="1">
      <alignment shrinkToFit="0" vertical="center" wrapText="0"/>
    </xf>
    <xf borderId="1" fillId="0" fontId="7" numFmtId="0" xfId="0" applyAlignment="1" applyBorder="1" applyFont="1">
      <alignment readingOrder="0" shrinkToFit="0" vertical="center" wrapText="0"/>
    </xf>
    <xf borderId="0" fillId="4" fontId="7" numFmtId="0" xfId="0" applyAlignment="1" applyFill="1" applyFont="1">
      <alignment shrinkToFit="0" vertical="center" wrapText="1"/>
    </xf>
    <xf quotePrefix="1" borderId="0" fillId="4" fontId="7" numFmtId="0" xfId="0" applyAlignment="1" applyFill="1" applyFont="1">
      <alignment shrinkToFit="0" vertical="center" wrapText="1"/>
    </xf>
    <xf borderId="0" fillId="0" fontId="3" numFmtId="165" xfId="0" applyAlignment="1" applyFont="1" applyNumberFormat="1">
      <alignment shrinkToFit="0" vertical="center" wrapText="0"/>
    </xf>
    <xf borderId="0" fillId="0" fontId="3" numFmtId="2" xfId="0" applyAlignment="1" applyFont="1" applyNumberFormat="1">
      <alignment shrinkToFit="0" vertical="center" wrapText="0"/>
    </xf>
    <xf borderId="0" fillId="0" fontId="3" numFmtId="167" xfId="0" applyAlignment="1" applyFont="1" applyNumberFormat="1">
      <alignment shrinkToFit="0" vertical="center" wrapText="0"/>
    </xf>
    <xf borderId="0" fillId="4" fontId="7" numFmtId="168" xfId="0" applyAlignment="1" applyFill="1" applyFont="1" applyNumberFormat="1">
      <alignment shrinkToFit="0" vertical="center" wrapText="1"/>
    </xf>
    <xf borderId="0" fillId="0" fontId="3" numFmtId="168" xfId="0" applyAlignment="1" applyFont="1" applyNumberFormat="1">
      <alignment shrinkToFit="0" vertical="center" wrapText="0"/>
    </xf>
    <xf borderId="1" fillId="4" fontId="7" numFmtId="0" xfId="0" applyAlignment="1" applyBorder="1" applyFill="1" applyFont="1">
      <alignment readingOrder="0" shrinkToFit="0" vertical="center" wrapText="1"/>
    </xf>
    <xf borderId="1" fillId="4" fontId="7" numFmtId="168"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0" fillId="0" fontId="3" numFmtId="0" xfId="0" applyAlignment="1" applyFont="1">
      <alignment readingOrder="0" shrinkToFit="0" vertical="center" wrapText="0"/>
    </xf>
    <xf borderId="1" fillId="0" fontId="7" numFmtId="168" xfId="0" applyAlignment="1" applyBorder="1" applyFont="1" applyNumberFormat="1">
      <alignment shrinkToFit="0" vertical="center" wrapText="0"/>
    </xf>
    <xf borderId="1" fillId="0" fontId="7" numFmtId="166" xfId="0" applyAlignment="1" applyBorder="1" applyFont="1" applyNumberFormat="1">
      <alignment shrinkToFit="0" vertical="center" wrapText="0"/>
    </xf>
    <xf borderId="0" fillId="0" fontId="7" numFmtId="166" xfId="0" applyAlignment="1" applyFont="1" applyNumberFormat="1">
      <alignment readingOrder="0" shrinkToFit="0" vertical="center" wrapText="0"/>
    </xf>
    <xf borderId="0" fillId="0" fontId="7" numFmtId="166" xfId="0" applyAlignment="1" applyFont="1" applyNumberFormat="1">
      <alignment shrinkToFit="0" vertical="center" wrapText="0"/>
    </xf>
    <xf borderId="0" fillId="0" fontId="9" numFmtId="0" xfId="0" applyAlignment="1" applyFont="1">
      <alignment readingOrder="0" shrinkToFit="0" wrapText="1"/>
    </xf>
    <xf borderId="0" fillId="0" fontId="9" numFmtId="0" xfId="0" applyAlignment="1" applyFont="1">
      <alignment shrinkToFit="0" wrapText="1"/>
    </xf>
    <xf borderId="0" fillId="2" fontId="5" numFmtId="166" xfId="0" applyAlignment="1" applyFill="1" applyFont="1" applyNumberFormat="1">
      <alignment shrinkToFit="0" vertical="center" wrapText="1"/>
    </xf>
    <xf borderId="0" fillId="0" fontId="3" numFmtId="166" xfId="0" applyAlignment="1" applyFont="1" applyNumberFormat="1">
      <alignment shrinkToFit="0" vertical="center" wrapText="1"/>
    </xf>
    <xf borderId="0" fillId="0" fontId="3" numFmtId="166" xfId="0" applyAlignment="1" applyFont="1" applyNumberFormat="1">
      <alignment readingOrder="0" shrinkToFit="0" vertical="center" wrapText="1"/>
    </xf>
    <xf borderId="0" fillId="3" fontId="3" numFmtId="0" xfId="0" applyAlignment="1" applyFill="1" applyFont="1">
      <alignment readingOrder="0" shrinkToFit="0" vertical="center" wrapText="1"/>
    </xf>
    <xf borderId="0" fillId="2" fontId="5" numFmtId="166" xfId="0" applyAlignment="1" applyFill="1" applyFont="1" applyNumberFormat="1">
      <alignment readingOrder="0" shrinkToFit="0" vertical="center" wrapText="1"/>
    </xf>
    <xf borderId="0" fillId="5" fontId="10" numFmtId="0" xfId="0" applyFill="1" applyFont="1"/>
    <xf borderId="0" fillId="0" fontId="9" numFmtId="10" xfId="0" applyAlignment="1" applyFont="1" applyNumberFormat="1">
      <alignment readingOrder="0"/>
    </xf>
    <xf borderId="0" fillId="0" fontId="9" numFmtId="10" xfId="0" applyFont="1" applyNumberFormat="1"/>
    <xf borderId="0" fillId="0" fontId="9" numFmtId="166" xfId="0" applyFont="1" applyNumberFormat="1"/>
    <xf borderId="0" fillId="6" fontId="11" numFmtId="10" xfId="0" applyAlignment="1" applyFill="1" applyFont="1" applyNumberFormat="1">
      <alignment readingOrder="0"/>
    </xf>
    <xf borderId="0" fillId="6" fontId="11" numFmtId="10" xfId="0" applyFill="1" applyFont="1" applyNumberFormat="1"/>
    <xf borderId="0" fillId="6" fontId="11" numFmtId="166" xfId="0" applyFill="1" applyFont="1" applyNumberFormat="1"/>
    <xf borderId="0" fillId="0" fontId="9" numFmtId="0" xfId="0" applyAlignment="1" applyFont="1">
      <alignment readingOrder="0"/>
    </xf>
    <xf borderId="0" fillId="0" fontId="2" numFmtId="0" xfId="0" applyAlignment="1" applyFont="1">
      <alignment shrinkToFit="0" vertical="center" wrapText="1"/>
    </xf>
    <xf borderId="0" fillId="7" fontId="12" numFmtId="0" xfId="0" applyAlignment="1" applyFill="1" applyFont="1">
      <alignment readingOrder="0" shrinkToFit="0" vertical="center" wrapText="0"/>
    </xf>
    <xf borderId="0" fillId="0" fontId="6" numFmtId="167" xfId="0" applyAlignment="1" applyFont="1" applyNumberFormat="1">
      <alignment shrinkToFit="0" vertical="center" wrapText="0"/>
    </xf>
    <xf quotePrefix="1" borderId="0" fillId="2" fontId="5" numFmtId="0" xfId="0" applyAlignment="1" applyFill="1" applyFont="1">
      <alignment shrinkToFit="0" vertical="center" wrapText="1"/>
    </xf>
    <xf borderId="0" fillId="4" fontId="7" numFmtId="167" xfId="0" applyAlignment="1" applyFill="1" applyFont="1" applyNumberFormat="1">
      <alignment shrinkToFit="0" vertical="center" wrapText="1"/>
    </xf>
    <xf borderId="0" fillId="0" fontId="4" numFmtId="167" xfId="0" applyAlignment="1" applyFont="1" applyNumberFormat="1">
      <alignment shrinkToFit="0" vertical="center" wrapText="0"/>
    </xf>
    <xf borderId="0" fillId="4" fontId="7" numFmtId="0" xfId="0" applyAlignment="1" applyFill="1" applyFont="1">
      <alignment readingOrder="0" shrinkToFit="0" vertical="center" wrapText="1"/>
    </xf>
    <xf borderId="0" fillId="0" fontId="6" numFmtId="167" xfId="0" applyAlignment="1" applyFont="1" applyNumberFormat="1">
      <alignment readingOrder="0" shrinkToFit="0" vertical="center" wrapText="0"/>
    </xf>
    <xf borderId="0" fillId="4" fontId="7" numFmtId="169" xfId="0" applyAlignment="1" applyFill="1" applyFont="1" applyNumberFormat="1">
      <alignment shrinkToFit="0" vertical="center" wrapText="1"/>
    </xf>
    <xf borderId="0" fillId="0" fontId="6" numFmtId="169" xfId="0" applyAlignment="1" applyFont="1" applyNumberFormat="1">
      <alignment readingOrder="0" shrinkToFit="0" vertical="center" wrapText="0"/>
    </xf>
    <xf borderId="0" fillId="4" fontId="7" numFmtId="0" xfId="0" applyAlignment="1" applyFill="1" applyFont="1">
      <alignment readingOrder="0" shrinkToFit="0" vertical="center" wrapText="1"/>
    </xf>
    <xf borderId="0" fillId="4" fontId="7" numFmtId="170" xfId="0" applyAlignment="1" applyFill="1" applyFont="1" applyNumberFormat="1">
      <alignment shrinkToFit="0" vertical="center" wrapText="1"/>
    </xf>
    <xf borderId="0" fillId="0" fontId="6" numFmtId="170" xfId="0" applyAlignment="1" applyFont="1" applyNumberFormat="1">
      <alignment shrinkToFit="0" vertical="center" wrapText="0"/>
    </xf>
    <xf borderId="0" fillId="0" fontId="6" numFmtId="167" xfId="0" applyAlignment="1" applyFont="1" applyNumberFormat="1">
      <alignment shrinkToFit="0" vertical="center" wrapText="1"/>
    </xf>
    <xf borderId="0" fillId="0" fontId="6" numFmtId="170" xfId="0" applyAlignment="1" applyFont="1" applyNumberFormat="1">
      <alignment shrinkToFit="0" vertical="center" wrapText="1"/>
    </xf>
    <xf borderId="0" fillId="0" fontId="4" numFmtId="164" xfId="0" applyAlignment="1" applyFont="1" applyNumberFormat="1">
      <alignment shrinkToFit="0" vertical="center" wrapText="1"/>
    </xf>
    <xf borderId="0" fillId="0" fontId="4" numFmtId="167" xfId="0" applyAlignment="1" applyFont="1" applyNumberFormat="1">
      <alignment shrinkToFit="0" vertical="center" wrapText="1"/>
    </xf>
    <xf borderId="0" fillId="8" fontId="7" numFmtId="0" xfId="0" applyAlignment="1" applyFill="1" applyFont="1">
      <alignment shrinkToFit="0" vertical="center" wrapText="1"/>
    </xf>
    <xf borderId="0" fillId="8" fontId="7" numFmtId="171" xfId="0" applyAlignment="1" applyFill="1" applyFont="1" applyNumberFormat="1">
      <alignment shrinkToFit="0" vertical="center" wrapText="1"/>
    </xf>
    <xf borderId="0" fillId="0" fontId="3" numFmtId="171" xfId="0" applyAlignment="1" applyFont="1" applyNumberFormat="1">
      <alignment shrinkToFit="0" vertical="center" wrapText="0"/>
    </xf>
    <xf borderId="0" fillId="0" fontId="3" numFmtId="171" xfId="0" applyAlignment="1" applyFont="1" applyNumberFormat="1">
      <alignment readingOrder="0" shrinkToFit="0" vertical="center" wrapText="0"/>
    </xf>
    <xf borderId="0" fillId="8" fontId="7" numFmtId="167" xfId="0" applyAlignment="1" applyFill="1" applyFont="1" applyNumberFormat="1">
      <alignment shrinkToFit="0" vertical="center" wrapText="1"/>
    </xf>
    <xf borderId="0" fillId="8" fontId="7" numFmtId="0" xfId="0" applyAlignment="1" applyFill="1" applyFont="1">
      <alignment readingOrder="0" shrinkToFit="0" vertical="center" wrapText="1"/>
    </xf>
    <xf borderId="0" fillId="2" fontId="5" numFmtId="0" xfId="0" applyAlignment="1" applyFill="1" applyFont="1">
      <alignment shrinkToFit="0" vertical="center" wrapText="0"/>
    </xf>
    <xf borderId="0" fillId="3" fontId="13" numFmtId="167" xfId="0" applyAlignment="1" applyFill="1" applyFont="1" applyNumberFormat="1">
      <alignment shrinkToFit="0" vertical="center" wrapText="0"/>
    </xf>
    <xf borderId="0" fillId="9" fontId="14" numFmtId="0" xfId="0" applyAlignment="1" applyFill="1" applyFont="1">
      <alignment readingOrder="0" shrinkToFit="0" vertical="center" wrapText="1"/>
    </xf>
    <xf borderId="0" fillId="0" fontId="15" numFmtId="0" xfId="0" applyAlignment="1" applyFont="1">
      <alignment readingOrder="0" shrinkToFit="0" vertical="center" wrapText="1"/>
    </xf>
    <xf borderId="0" fillId="10" fontId="16" numFmtId="172" xfId="0" applyAlignment="1" applyFill="1" applyFont="1" applyNumberFormat="1">
      <alignment readingOrder="0" shrinkToFit="0" vertical="center" wrapText="1"/>
    </xf>
    <xf borderId="0" fillId="0" fontId="15" numFmtId="0" xfId="0" applyAlignment="1" applyFont="1">
      <alignment shrinkToFit="0" vertical="center" wrapText="1"/>
    </xf>
    <xf borderId="0" fillId="0" fontId="15" numFmtId="0" xfId="0" applyAlignment="1" applyFont="1">
      <alignment readingOrder="0" shrinkToFit="0" vertical="center" wrapText="1"/>
    </xf>
    <xf borderId="0" fillId="11" fontId="17" numFmtId="0" xfId="0" applyAlignment="1" applyFill="1" applyFont="1">
      <alignment readingOrder="0" shrinkToFit="0" vertical="center" wrapText="1"/>
    </xf>
    <xf borderId="0" fillId="11" fontId="17" numFmtId="172" xfId="0" applyAlignment="1" applyFill="1" applyFont="1" applyNumberFormat="1">
      <alignment shrinkToFit="0" vertical="center" wrapText="1"/>
    </xf>
    <xf borderId="0" fillId="0" fontId="15" numFmtId="172" xfId="0" applyAlignment="1" applyFont="1" applyNumberFormat="1">
      <alignment shrinkToFit="0" vertical="center" wrapText="1"/>
    </xf>
    <xf borderId="0" fillId="10" fontId="18" numFmtId="172" xfId="0" applyAlignment="1" applyFill="1" applyFont="1" applyNumberFormat="1">
      <alignment readingOrder="0" shrinkToFit="0" vertical="center" wrapText="1"/>
    </xf>
    <xf borderId="0" fillId="0" fontId="9" numFmtId="0" xfId="0" applyAlignment="1" applyFont="1">
      <alignment readingOrder="0"/>
    </xf>
    <xf borderId="0" fillId="0" fontId="19" numFmtId="173" xfId="0" applyAlignment="1" applyFont="1" applyNumberFormat="1">
      <alignment readingOrder="0"/>
    </xf>
    <xf borderId="0" fillId="0" fontId="6" numFmtId="3" xfId="0" applyAlignment="1" applyFont="1" applyNumberFormat="1">
      <alignment shrinkToFit="0" vertical="center" wrapText="1"/>
    </xf>
    <xf borderId="0" fillId="0" fontId="6" numFmtId="3" xfId="0" applyAlignment="1" applyFont="1" applyNumberFormat="1">
      <alignment readingOrder="0" shrinkToFit="0" vertical="center" wrapText="1"/>
    </xf>
    <xf borderId="0" fillId="0" fontId="6" numFmtId="167" xfId="0" applyAlignment="1" applyFont="1" applyNumberFormat="1">
      <alignment readingOrder="0" shrinkToFit="0" vertical="center" wrapText="1"/>
    </xf>
    <xf borderId="0" fillId="0" fontId="20" numFmtId="0" xfId="0" applyAlignment="1" applyFont="1">
      <alignment shrinkToFit="0" vertical="center" wrapText="1"/>
    </xf>
    <xf borderId="0" fillId="0" fontId="21" numFmtId="0" xfId="0" applyAlignment="1" applyFont="1">
      <alignment readingOrder="0" shrinkToFit="0" vertical="center" wrapText="1"/>
    </xf>
    <xf borderId="0" fillId="0" fontId="21" numFmtId="0" xfId="0" applyAlignment="1" applyFont="1">
      <alignment shrinkToFit="0" vertical="center" wrapText="1"/>
    </xf>
    <xf borderId="0" fillId="0" fontId="21" numFmtId="165" xfId="0" applyAlignment="1" applyFont="1" applyNumberFormat="1">
      <alignment shrinkToFit="0" vertical="center" wrapText="1"/>
    </xf>
    <xf borderId="0" fillId="0" fontId="21" numFmtId="166" xfId="0" applyAlignment="1" applyFont="1" applyNumberFormat="1">
      <alignment readingOrder="0" shrinkToFit="0" vertical="center" wrapText="1"/>
    </xf>
    <xf borderId="0" fillId="0" fontId="21" numFmtId="10" xfId="0" applyAlignment="1" applyFont="1" applyNumberFormat="1">
      <alignment shrinkToFit="0" vertical="center" wrapText="1"/>
    </xf>
    <xf borderId="0" fillId="0" fontId="21" numFmtId="10" xfId="0" applyAlignment="1" applyFont="1" applyNumberFormat="1">
      <alignment readingOrder="0" shrinkToFit="0" vertical="center" wrapText="1"/>
    </xf>
    <xf borderId="0" fillId="0" fontId="21" numFmtId="166" xfId="0" applyAlignment="1" applyFont="1" applyNumberFormat="1">
      <alignment shrinkToFit="0" vertical="center" wrapText="1"/>
    </xf>
    <xf borderId="0" fillId="5" fontId="10" numFmtId="0" xfId="0" applyAlignment="1" applyFill="1" applyFont="1">
      <alignment shrinkToFit="0" vertical="center" wrapText="1"/>
    </xf>
    <xf borderId="0" fillId="0" fontId="21" numFmtId="167" xfId="0" applyAlignment="1" applyFont="1" applyNumberFormat="1">
      <alignment shrinkToFit="0" vertical="center" wrapText="1"/>
    </xf>
    <xf borderId="0" fillId="0" fontId="21" numFmtId="2" xfId="0" applyAlignment="1" applyFont="1" applyNumberFormat="1">
      <alignment shrinkToFit="0" vertical="center" wrapText="1"/>
    </xf>
    <xf borderId="0" fillId="6" fontId="22" numFmtId="0" xfId="0" applyAlignment="1" applyFill="1" applyFont="1">
      <alignment shrinkToFit="0" vertical="center" wrapText="1"/>
    </xf>
    <xf borderId="0" fillId="6" fontId="22" numFmtId="2" xfId="0" applyAlignment="1" applyFill="1" applyFont="1" applyNumberFormat="1">
      <alignment shrinkToFit="0" vertical="center" wrapText="1"/>
    </xf>
    <xf borderId="0" fillId="6" fontId="22" numFmtId="10" xfId="0" applyAlignment="1" applyFill="1" applyFont="1" applyNumberFormat="1">
      <alignment shrinkToFit="0" vertical="center" wrapText="1"/>
    </xf>
    <xf borderId="0" fillId="6" fontId="22" numFmtId="166" xfId="0" applyAlignment="1" applyFill="1" applyFont="1" applyNumberFormat="1">
      <alignment shrinkToFit="0" vertical="center" wrapText="1"/>
    </xf>
    <xf borderId="0" fillId="0" fontId="21" numFmtId="2" xfId="0" applyAlignment="1" applyFont="1" applyNumberFormat="1">
      <alignment readingOrder="0" shrinkToFit="0" vertical="center" wrapText="1"/>
    </xf>
    <xf borderId="0" fillId="12" fontId="21" numFmtId="166" xfId="0" applyAlignment="1" applyFill="1" applyFont="1" applyNumberFormat="1">
      <alignment shrinkToFit="0" vertical="center" wrapText="1"/>
    </xf>
    <xf borderId="0" fillId="0" fontId="21" numFmtId="0" xfId="0" applyAlignment="1" applyFont="1">
      <alignment readingOrder="0" shrinkToFit="0" vertical="center" wrapText="1"/>
    </xf>
    <xf borderId="0" fillId="13" fontId="23" numFmtId="0" xfId="0" applyAlignment="1" applyFill="1" applyFont="1">
      <alignment readingOrder="0" shrinkToFit="0" vertical="center" wrapText="1"/>
    </xf>
    <xf borderId="0" fillId="2" fontId="5" numFmtId="0" xfId="0" applyAlignment="1" applyFill="1" applyFont="1">
      <alignment readingOrder="0" shrinkToFit="0" vertical="center" wrapText="1"/>
    </xf>
    <xf borderId="0" fillId="0" fontId="24" numFmtId="164" xfId="0" applyAlignment="1" applyFont="1" applyNumberFormat="1">
      <alignment horizontal="right" readingOrder="0" shrinkToFit="0" vertical="center" wrapText="0"/>
    </xf>
    <xf borderId="1" fillId="0" fontId="8" numFmtId="164" xfId="0" applyAlignment="1" applyBorder="1" applyFont="1" applyNumberFormat="1">
      <alignment shrinkToFit="0" vertical="center" wrapText="0"/>
    </xf>
    <xf borderId="1" fillId="0" fontId="7" numFmtId="164" xfId="0" applyAlignment="1" applyBorder="1" applyFont="1" applyNumberFormat="1">
      <alignment shrinkToFit="0" vertical="center" wrapText="0"/>
    </xf>
    <xf borderId="1" fillId="0" fontId="24" numFmtId="164" xfId="0" applyAlignment="1" applyBorder="1" applyFont="1" applyNumberFormat="1">
      <alignment horizontal="right" readingOrder="0" shrinkToFit="0" vertical="center" wrapText="0"/>
    </xf>
    <xf borderId="0" fillId="8" fontId="7" numFmtId="166" xfId="0" applyAlignment="1" applyFill="1" applyFont="1" applyNumberFormat="1">
      <alignment vertical="center"/>
    </xf>
    <xf borderId="0" fillId="0" fontId="3" numFmtId="166" xfId="0" applyAlignment="1" applyFont="1" applyNumberFormat="1">
      <alignment vertical="center"/>
    </xf>
    <xf borderId="0" fillId="0" fontId="24" numFmtId="0" xfId="0" applyAlignment="1" applyFont="1">
      <alignment horizontal="right" readingOrder="0"/>
    </xf>
    <xf borderId="0" fillId="0" fontId="3" numFmtId="167" xfId="0" applyAlignment="1" applyFont="1" applyNumberFormat="1">
      <alignment vertical="center"/>
    </xf>
    <xf borderId="0" fillId="0" fontId="25" numFmtId="0" xfId="0" applyAlignment="1" applyFont="1">
      <alignment readingOrder="0" shrinkToFit="0" wrapText="1"/>
    </xf>
    <xf borderId="0" fillId="9" fontId="14" numFmtId="0" xfId="0" applyAlignment="1" applyFill="1" applyFont="1">
      <alignment shrinkToFit="0" vertical="center" wrapText="1"/>
    </xf>
    <xf borderId="0" fillId="0" fontId="15" numFmtId="174" xfId="0" applyAlignment="1" applyFont="1" applyNumberFormat="1">
      <alignment shrinkToFit="0" vertical="center" wrapText="1"/>
    </xf>
    <xf borderId="0" fillId="0" fontId="15" numFmtId="165" xfId="0" applyAlignment="1" applyFont="1" applyNumberFormat="1">
      <alignment shrinkToFit="0" vertical="center" wrapText="1"/>
    </xf>
    <xf quotePrefix="1" borderId="0" fillId="9" fontId="14" numFmtId="0" xfId="0" applyAlignment="1" applyFill="1" applyFont="1">
      <alignment readingOrder="0" shrinkToFit="0" vertical="center" wrapText="1"/>
    </xf>
    <xf borderId="0" fillId="0" fontId="26" numFmtId="174" xfId="0" applyAlignment="1" applyFont="1" applyNumberFormat="1">
      <alignment shrinkToFit="0" vertical="center" wrapText="1"/>
    </xf>
    <xf borderId="0" fillId="0" fontId="26" numFmtId="172" xfId="0" applyAlignment="1" applyFont="1" applyNumberFormat="1">
      <alignment shrinkToFit="0" vertical="center" wrapText="1"/>
    </xf>
    <xf borderId="0" fillId="11" fontId="17" numFmtId="174" xfId="0" applyAlignment="1" applyFill="1" applyFont="1" applyNumberFormat="1">
      <alignment shrinkToFit="0" vertical="center" wrapText="1"/>
    </xf>
    <xf borderId="0" fillId="11" fontId="17" numFmtId="0" xfId="0" applyAlignment="1" applyFill="1" applyFont="1">
      <alignment shrinkToFit="0" vertical="center" wrapText="1"/>
    </xf>
    <xf borderId="0" fillId="0" fontId="1" numFmtId="0" xfId="0" applyAlignment="1" applyFont="1">
      <alignment shrinkToFit="0" vertical="center" wrapText="0"/>
    </xf>
    <xf borderId="0" fillId="0" fontId="3" numFmtId="166" xfId="0" applyAlignment="1" applyFont="1" applyNumberFormat="1">
      <alignment shrinkToFit="0" vertical="center" wrapText="0"/>
    </xf>
    <xf borderId="0" fillId="8" fontId="7" numFmtId="0" xfId="0" applyAlignment="1" applyFill="1" applyFont="1">
      <alignment shrinkToFit="0" vertical="center" wrapText="0"/>
    </xf>
    <xf borderId="0" fillId="8" fontId="27" numFmtId="166" xfId="0" applyAlignment="1" applyFill="1" applyFont="1" applyNumberFormat="1">
      <alignment shrinkToFit="0" vertical="center" wrapText="0"/>
    </xf>
    <xf borderId="0" fillId="0" fontId="28" numFmtId="166" xfId="0" applyAlignment="1" applyFont="1" applyNumberFormat="1">
      <alignment shrinkToFit="0" vertical="center" wrapText="0"/>
    </xf>
    <xf borderId="0" fillId="0" fontId="28" numFmtId="166" xfId="0" applyAlignment="1" applyFont="1" applyNumberFormat="1">
      <alignment readingOrder="0" shrinkToFit="0" vertical="center" wrapText="0"/>
    </xf>
    <xf borderId="1" fillId="0" fontId="27" numFmtId="166" xfId="0" applyAlignment="1" applyBorder="1" applyFont="1" applyNumberFormat="1">
      <alignment shrinkToFit="0" vertical="center" wrapText="0"/>
    </xf>
    <xf borderId="0" fillId="0" fontId="28" numFmtId="171" xfId="0" applyAlignment="1" applyFont="1" applyNumberFormat="1">
      <alignment shrinkToFit="0" vertical="center" wrapText="0"/>
    </xf>
    <xf borderId="0" fillId="0" fontId="28" numFmtId="167" xfId="0" applyAlignment="1" applyFont="1" applyNumberFormat="1">
      <alignment shrinkToFit="0" vertical="center" wrapText="0"/>
    </xf>
    <xf borderId="1" fillId="0" fontId="27" numFmtId="164" xfId="0" applyAlignment="1" applyBorder="1" applyFont="1" applyNumberFormat="1">
      <alignment shrinkToFit="0" vertical="center" wrapText="0"/>
    </xf>
    <xf borderId="0" fillId="0" fontId="29" numFmtId="0" xfId="0" applyAlignment="1" applyFont="1">
      <alignment readingOrder="0" shrinkToFit="0" vertical="center" wrapText="1"/>
    </xf>
    <xf borderId="0" fillId="0" fontId="30" numFmtId="0" xfId="0" applyAlignment="1" applyFont="1">
      <alignment shrinkToFit="0" vertical="center" wrapText="1"/>
    </xf>
    <xf borderId="0" fillId="0" fontId="6" numFmtId="175" xfId="0" applyAlignment="1" applyFont="1" applyNumberFormat="1">
      <alignment shrinkToFit="0" vertical="center" wrapText="0"/>
    </xf>
    <xf borderId="0" fillId="0" fontId="3" numFmtId="175" xfId="0" applyAlignment="1" applyFont="1" applyNumberFormat="1">
      <alignment shrinkToFit="0" vertical="center" wrapText="0"/>
    </xf>
    <xf borderId="0" fillId="0" fontId="3" numFmtId="176" xfId="0" applyAlignment="1" applyFont="1" applyNumberFormat="1">
      <alignment shrinkToFit="0" vertical="center" wrapText="0"/>
    </xf>
    <xf borderId="1" fillId="0" fontId="7" numFmtId="167" xfId="0" applyAlignment="1" applyBorder="1" applyFont="1" applyNumberFormat="1">
      <alignment shrinkToFit="0" vertical="center" wrapText="0"/>
    </xf>
    <xf borderId="0" fillId="0" fontId="4" numFmtId="175" xfId="0" applyAlignment="1" applyFont="1" applyNumberFormat="1">
      <alignment shrinkToFit="0" vertical="center" wrapText="0"/>
    </xf>
    <xf borderId="0" fillId="9" fontId="14" numFmtId="174" xfId="0" applyAlignment="1" applyFill="1" applyFont="1" applyNumberFormat="1">
      <alignment shrinkToFit="0" vertical="center" wrapText="1"/>
    </xf>
    <xf borderId="0" fillId="4" fontId="15" numFmtId="0" xfId="0" applyAlignment="1" applyFill="1" applyFont="1">
      <alignment shrinkToFit="0" vertical="center" wrapText="1"/>
    </xf>
    <xf borderId="0" fillId="4" fontId="15" numFmtId="174" xfId="0" applyAlignment="1" applyFill="1" applyFont="1" applyNumberFormat="1">
      <alignment shrinkToFit="0" vertical="center" wrapText="1"/>
    </xf>
    <xf borderId="0" fillId="4" fontId="15" numFmtId="0" xfId="0" applyAlignment="1" applyFill="1" applyFont="1">
      <alignment readingOrder="0" shrinkToFit="0" vertical="center" wrapText="1"/>
    </xf>
    <xf borderId="0" fillId="0" fontId="15" numFmtId="173" xfId="0" applyAlignment="1" applyFont="1" applyNumberFormat="1">
      <alignment shrinkToFit="0" vertical="center" wrapText="1"/>
    </xf>
    <xf borderId="0" fillId="0" fontId="29" numFmtId="0" xfId="0" applyAlignment="1" applyFont="1">
      <alignment readingOrder="0" shrinkToFit="0" wrapText="1"/>
    </xf>
    <xf borderId="0" fillId="0" fontId="28" numFmtId="165" xfId="0" applyAlignment="1" applyFont="1" applyNumberFormat="1">
      <alignment shrinkToFit="0" vertical="center" wrapText="0"/>
    </xf>
    <xf borderId="0" fillId="0" fontId="28" numFmtId="175" xfId="0" applyAlignment="1" applyFont="1" applyNumberFormat="1">
      <alignment shrinkToFit="0" vertical="center" wrapText="0"/>
    </xf>
    <xf borderId="0" fillId="0" fontId="28" numFmtId="166" xfId="0" applyAlignment="1" applyFont="1" applyNumberFormat="1">
      <alignment shrinkToFit="0" vertical="center" wrapText="1"/>
    </xf>
    <xf borderId="0" fillId="6" fontId="11" numFmtId="0" xfId="0" applyFill="1" applyFont="1"/>
    <xf borderId="0" fillId="0" fontId="9" numFmtId="167" xfId="0" applyFont="1" applyNumberFormat="1"/>
    <xf borderId="0" fillId="0" fontId="15" numFmtId="164" xfId="0" applyAlignment="1" applyFont="1" applyNumberFormat="1">
      <alignment shrinkToFit="0" vertical="center" wrapText="1"/>
    </xf>
    <xf borderId="0" fillId="0" fontId="15" numFmtId="172" xfId="0" applyAlignment="1" applyFont="1" applyNumberFormat="1">
      <alignment readingOrder="0" shrinkToFit="0" vertical="center" wrapText="1"/>
    </xf>
    <xf borderId="0" fillId="0" fontId="11" numFmtId="0" xfId="0" applyAlignment="1" applyFont="1">
      <alignment readingOrder="0"/>
    </xf>
    <xf borderId="0" fillId="0" fontId="9" numFmtId="177" xfId="0" applyFont="1" applyNumberFormat="1"/>
    <xf borderId="0" fillId="0" fontId="9" numFmtId="178" xfId="0" applyFont="1" applyNumberFormat="1"/>
    <xf borderId="0" fillId="0" fontId="9" numFmtId="177" xfId="0" applyAlignment="1" applyFont="1" applyNumberFormat="1">
      <alignment readingOrder="0"/>
    </xf>
    <xf borderId="0" fillId="0" fontId="9" numFmtId="164" xfId="0" applyFont="1" applyNumberFormat="1"/>
    <xf borderId="0" fillId="0" fontId="9" numFmtId="0" xfId="0" applyAlignment="1" applyFont="1">
      <alignment readingOrder="0" shrinkToFit="0" wrapText="1"/>
    </xf>
    <xf borderId="0" fillId="0" fontId="12" numFmtId="0" xfId="0" applyAlignment="1" applyFont="1">
      <alignment readingOrder="0"/>
    </xf>
    <xf borderId="0" fillId="0" fontId="11" numFmtId="0" xfId="0" applyFont="1"/>
    <xf borderId="0" fillId="0" fontId="9" numFmtId="2" xfId="0" applyFont="1" applyNumberFormat="1"/>
    <xf borderId="0" fillId="0" fontId="19" numFmtId="2" xfId="0" applyAlignment="1" applyFont="1" applyNumberFormat="1">
      <alignment readingOrder="0"/>
    </xf>
    <xf borderId="0" fillId="0" fontId="9" numFmtId="179" xfId="0" applyFont="1" applyNumberFormat="1"/>
    <xf borderId="0" fillId="0" fontId="19" numFmtId="179" xfId="0" applyAlignment="1" applyFont="1" applyNumberFormat="1">
      <alignment readingOrder="0"/>
    </xf>
    <xf borderId="0" fillId="0" fontId="19" numFmtId="177" xfId="0" applyFont="1" applyNumberFormat="1"/>
    <xf borderId="0" fillId="0" fontId="19" numFmtId="177" xfId="0" applyAlignment="1" applyFont="1" applyNumberFormat="1">
      <alignment readingOrder="0"/>
    </xf>
    <xf borderId="0" fillId="0" fontId="9" numFmtId="167" xfId="0" applyAlignment="1" applyFont="1" applyNumberFormat="1">
      <alignment readingOrder="0"/>
    </xf>
    <xf borderId="0" fillId="0" fontId="19" numFmtId="167" xfId="0" applyAlignment="1" applyFont="1" applyNumberFormat="1">
      <alignment readingOrder="0"/>
    </xf>
    <xf borderId="0" fillId="0" fontId="19" numFmtId="167" xfId="0" applyFont="1" applyNumberFormat="1"/>
    <xf borderId="0" fillId="0" fontId="9" numFmtId="180" xfId="0" applyFont="1" applyNumberFormat="1"/>
    <xf borderId="0" fillId="0" fontId="11" numFmtId="0" xfId="0" applyAlignment="1" applyFont="1">
      <alignment readingOrder="0" shrinkToFit="0" wrapText="1"/>
    </xf>
    <xf borderId="0" fillId="0" fontId="9" numFmtId="3" xfId="0" applyFont="1" applyNumberFormat="1"/>
    <xf borderId="0" fillId="0" fontId="9" numFmtId="3" xfId="0" applyAlignment="1" applyFont="1" applyNumberFormat="1">
      <alignment readingOrder="0"/>
    </xf>
    <xf borderId="0" fillId="0" fontId="11" numFmtId="0" xfId="0" applyAlignment="1" applyFont="1">
      <alignment shrinkToFit="0" wrapText="1"/>
    </xf>
    <xf borderId="0" fillId="0" fontId="19" numFmtId="3" xfId="0" applyAlignment="1" applyFont="1" applyNumberFormat="1">
      <alignment readingOrder="0"/>
    </xf>
    <xf borderId="0" fillId="0" fontId="19" numFmtId="9" xfId="0" applyAlignment="1" applyFont="1" applyNumberFormat="1">
      <alignment readingOrder="0"/>
    </xf>
    <xf borderId="0" fillId="0" fontId="11" numFmtId="177" xfId="0" applyFont="1" applyNumberFormat="1"/>
    <xf borderId="0" fillId="0" fontId="11" numFmtId="167" xfId="0" applyFont="1" applyNumberFormat="1"/>
    <xf borderId="0" fillId="0" fontId="9" numFmtId="0" xfId="0" applyAlignment="1" applyFont="1">
      <alignment readingOrder="0" shrinkToFit="0" wrapText="0"/>
    </xf>
    <xf borderId="0" fillId="0" fontId="9" numFmtId="0" xfId="0" applyAlignment="1" applyFont="1">
      <alignment shrinkToFit="0" wrapText="0"/>
    </xf>
    <xf borderId="0" fillId="14" fontId="31" numFmtId="0" xfId="0" applyAlignment="1" applyFill="1" applyFont="1">
      <alignment shrinkToFit="0" vertical="top" wrapText="1"/>
    </xf>
    <xf borderId="0" fillId="0" fontId="21" numFmtId="0" xfId="0" applyAlignment="1" applyFont="1">
      <alignment shrinkToFit="0" vertical="top" wrapText="1"/>
    </xf>
    <xf borderId="0" fillId="0" fontId="21" numFmtId="177" xfId="0" applyAlignment="1" applyFont="1" applyNumberFormat="1">
      <alignment shrinkToFit="0" vertical="top" wrapText="1"/>
    </xf>
    <xf borderId="0" fillId="0" fontId="21" numFmtId="3" xfId="0" applyAlignment="1" applyFont="1" applyNumberFormat="1">
      <alignment shrinkToFit="0" vertical="top" wrapText="1"/>
    </xf>
    <xf borderId="0" fillId="0" fontId="9" numFmtId="0" xfId="0" applyAlignment="1" applyFont="1">
      <alignment readingOrder="0" shrinkToFit="0" vertical="top" wrapText="1"/>
    </xf>
    <xf borderId="0" fillId="0" fontId="11" numFmtId="0" xfId="0" applyAlignment="1" applyFont="1">
      <alignment readingOrder="0" shrinkToFit="0" vertical="top" wrapText="1"/>
    </xf>
    <xf borderId="0" fillId="0" fontId="9" numFmtId="9" xfId="0" applyAlignment="1" applyFont="1" applyNumberFormat="1">
      <alignment readingOrder="0" shrinkToFit="0" vertical="top" wrapText="1"/>
    </xf>
    <xf quotePrefix="1" borderId="0" fillId="0" fontId="9" numFmtId="0" xfId="0" applyAlignment="1" applyFont="1">
      <alignment readingOrder="0" shrinkToFit="0" vertical="top" wrapText="1"/>
    </xf>
    <xf borderId="0" fillId="0" fontId="9" numFmtId="172" xfId="0" applyAlignment="1" applyFont="1" applyNumberFormat="1">
      <alignment readingOrder="0" shrinkToFit="0" vertical="top" wrapText="1"/>
    </xf>
    <xf borderId="0" fillId="0" fontId="9" numFmtId="10" xfId="0" applyAlignment="1" applyFont="1" applyNumberFormat="1">
      <alignment readingOrder="0" shrinkToFit="0" vertical="top" wrapText="1"/>
    </xf>
    <xf borderId="0" fillId="0" fontId="9" numFmtId="0" xfId="0" applyAlignment="1" applyFont="1">
      <alignment shrinkToFit="0" vertical="top" wrapText="1"/>
    </xf>
    <xf borderId="0" fillId="0" fontId="11" numFmtId="0" xfId="0" applyAlignment="1" applyFont="1">
      <alignment shrinkToFit="0" vertical="top" wrapText="1"/>
    </xf>
    <xf borderId="0" fillId="0" fontId="9" numFmtId="175" xfId="0" applyAlignment="1" applyFont="1" applyNumberFormat="1">
      <alignment readingOrder="0" shrinkToFit="0" vertical="top" wrapText="1"/>
    </xf>
    <xf borderId="0" fillId="0" fontId="9" numFmtId="2" xfId="0" applyAlignment="1" applyFont="1" applyNumberFormat="1">
      <alignment readingOrder="0" shrinkToFit="0" vertical="top" wrapText="1"/>
    </xf>
    <xf borderId="0" fillId="0" fontId="9" numFmtId="1" xfId="0" applyAlignment="1" applyFont="1" applyNumberFormat="1">
      <alignment readingOrder="0" shrinkToFit="0" vertical="top" wrapText="1"/>
    </xf>
    <xf borderId="0" fillId="0" fontId="11" numFmtId="0" xfId="0" applyAlignment="1" applyFont="1">
      <alignment readingOrder="0" shrinkToFit="0" vertical="top" wrapText="1"/>
    </xf>
    <xf borderId="0" fillId="0" fontId="9" numFmtId="0" xfId="0" applyAlignment="1" applyFont="1">
      <alignment readingOrder="0" shrinkToFit="0" vertical="top" wrapText="1"/>
    </xf>
    <xf borderId="0" fillId="0" fontId="9" numFmtId="179" xfId="0" applyAlignment="1" applyFont="1" applyNumberFormat="1">
      <alignment readingOrder="0" shrinkToFit="0" vertical="top" wrapText="1"/>
    </xf>
    <xf borderId="0" fillId="0" fontId="9" numFmtId="167" xfId="0" applyAlignment="1" applyFont="1" applyNumberFormat="1">
      <alignment readingOrder="0" shrinkToFit="0" vertical="top" wrapText="1"/>
    </xf>
    <xf borderId="0" fillId="0" fontId="20" numFmtId="0" xfId="0" applyAlignment="1" applyFont="1">
      <alignment readingOrder="0" shrinkToFit="0" vertical="center" wrapText="1"/>
    </xf>
    <xf borderId="0" fillId="5" fontId="10" numFmtId="0" xfId="0" applyAlignment="1" applyFill="1" applyFont="1">
      <alignment readingOrder="0" shrinkToFit="0" vertical="center" wrapText="1"/>
    </xf>
    <xf borderId="0" fillId="12" fontId="21" numFmtId="167" xfId="0" applyAlignment="1" applyFill="1" applyFont="1" applyNumberFormat="1">
      <alignment shrinkToFit="0" vertical="center" wrapText="1"/>
    </xf>
    <xf borderId="0" fillId="12" fontId="21" numFmtId="166" xfId="0" applyAlignment="1" applyFill="1" applyFont="1" applyNumberFormat="1">
      <alignment readingOrder="0" shrinkToFit="0" vertical="center" wrapText="1"/>
    </xf>
    <xf borderId="0" fillId="5" fontId="10" numFmtId="0" xfId="0" applyAlignment="1" applyFill="1" applyFont="1">
      <alignment readingOrder="0"/>
    </xf>
    <xf borderId="0" fillId="6" fontId="22" numFmtId="0" xfId="0" applyAlignment="1" applyFill="1" applyFont="1">
      <alignment readingOrder="0" shrinkToFit="0" vertical="center" wrapText="1"/>
    </xf>
    <xf borderId="0" fillId="0" fontId="15" numFmtId="174" xfId="0" applyAlignment="1" applyFont="1" applyNumberFormat="1">
      <alignment readingOrder="0" shrinkToFit="0" vertical="center" wrapText="1"/>
    </xf>
    <xf quotePrefix="1" borderId="0" fillId="0" fontId="15" numFmtId="174" xfId="0" applyAlignment="1" applyFont="1" applyNumberFormat="1">
      <alignment readingOrder="0" shrinkToFit="0" vertical="center" wrapText="1"/>
    </xf>
    <xf borderId="0" fillId="2" fontId="10" numFmtId="0" xfId="0" applyAlignment="1" applyFill="1" applyFont="1">
      <alignment shrinkToFit="0" vertical="center" wrapText="1"/>
    </xf>
    <xf quotePrefix="1" borderId="0" fillId="2" fontId="10" numFmtId="0" xfId="0" applyAlignment="1" applyFill="1" applyFont="1">
      <alignment shrinkToFit="0" vertical="center" wrapText="1"/>
    </xf>
    <xf borderId="0" fillId="2" fontId="10" numFmtId="0" xfId="0" applyAlignment="1" applyFill="1" applyFont="1">
      <alignment readingOrder="0" shrinkToFit="0" vertical="center" wrapText="1"/>
    </xf>
    <xf borderId="0" fillId="0" fontId="32" numFmtId="3" xfId="0" applyAlignment="1" applyFont="1" applyNumberFormat="1">
      <alignment readingOrder="0" shrinkToFit="0" vertical="center" wrapText="0"/>
    </xf>
    <xf borderId="0" fillId="0" fontId="3" numFmtId="3" xfId="0" applyAlignment="1" applyFont="1" applyNumberFormat="1">
      <alignment shrinkToFit="0" vertical="center" wrapText="0"/>
    </xf>
    <xf borderId="1" fillId="0" fontId="7" numFmtId="0" xfId="0" applyAlignment="1" applyBorder="1" applyFont="1">
      <alignment readingOrder="0" shrinkToFit="0" vertical="center" wrapText="0"/>
    </xf>
    <xf borderId="1" fillId="0" fontId="7" numFmtId="3" xfId="0" applyAlignment="1" applyBorder="1" applyFont="1" applyNumberFormat="1">
      <alignment shrinkToFit="0" vertical="center" wrapText="0"/>
    </xf>
    <xf borderId="0" fillId="0" fontId="4" numFmtId="176" xfId="0" applyAlignment="1" applyFont="1" applyNumberFormat="1">
      <alignment shrinkToFit="0" vertical="center" wrapText="0"/>
    </xf>
    <xf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borderId="1" fillId="0" fontId="7" numFmtId="164" xfId="0" applyAlignment="1" applyBorder="1" applyFont="1" applyNumberFormat="1">
      <alignment readingOrder="0" shrinkToFit="0" vertical="center" wrapText="0"/>
    </xf>
    <xf borderId="0" fillId="0" fontId="33" numFmtId="0" xfId="0" applyFont="1"/>
    <xf borderId="0" fillId="0" fontId="34" numFmtId="0" xfId="0" applyFont="1"/>
    <xf borderId="0" fillId="15" fontId="35" numFmtId="0" xfId="0" applyAlignment="1" applyFill="1" applyFont="1">
      <alignment vertical="center"/>
    </xf>
    <xf borderId="0" fillId="16" fontId="35" numFmtId="0" xfId="0" applyAlignment="1" applyFill="1" applyFont="1">
      <alignment vertical="center"/>
    </xf>
    <xf borderId="0" fillId="17" fontId="36" numFmtId="0" xfId="0" applyFill="1" applyFont="1"/>
    <xf borderId="0" fillId="18" fontId="35" numFmtId="0" xfId="0" applyAlignment="1" applyFill="1" applyFont="1">
      <alignment vertical="center"/>
    </xf>
    <xf borderId="0" fillId="0" fontId="37" numFmtId="0" xfId="0" applyFont="1"/>
    <xf borderId="0" fillId="0" fontId="38" numFmtId="181" xfId="0" applyFont="1" applyNumberFormat="1"/>
    <xf borderId="2" fillId="17" fontId="39" numFmtId="0" xfId="0" applyBorder="1" applyFill="1" applyFont="1"/>
    <xf borderId="2" fillId="17" fontId="40" numFmtId="181" xfId="0" applyBorder="1" applyFill="1" applyFont="1" applyNumberFormat="1"/>
    <xf borderId="0" fillId="0" fontId="38" numFmtId="182" xfId="0" applyFont="1" applyNumberFormat="1"/>
    <xf borderId="0" fillId="0" fontId="9" numFmtId="0" xfId="0" applyFont="1"/>
    <xf borderId="0" fillId="0" fontId="6" numFmtId="164" xfId="0" applyAlignment="1" applyFont="1" applyNumberFormat="1">
      <alignment shrinkToFit="0" vertical="center" wrapText="0"/>
    </xf>
    <xf borderId="0" fillId="0" fontId="6" numFmtId="164" xfId="0" applyAlignment="1" applyFont="1" applyNumberFormat="1">
      <alignment shrinkToFit="0" vertical="center" wrapText="1"/>
    </xf>
    <xf quotePrefix="1" borderId="0" fillId="0" fontId="3" numFmtId="0" xfId="0" applyAlignment="1" applyFont="1">
      <alignment shrinkToFit="0" vertical="center" wrapText="0"/>
    </xf>
    <xf borderId="0" fillId="0" fontId="3" numFmtId="167" xfId="0" applyAlignment="1" applyFont="1" applyNumberFormat="1">
      <alignment readingOrder="0" shrinkToFit="0" vertical="center" wrapText="1"/>
    </xf>
    <xf borderId="0" fillId="0" fontId="41" numFmtId="0" xfId="0" applyAlignment="1" applyFont="1">
      <alignment readingOrder="0" shrinkToFit="0" vertical="center" wrapText="1"/>
    </xf>
    <xf borderId="0" fillId="0" fontId="3" numFmtId="167" xfId="0" applyAlignment="1" applyFont="1" applyNumberFormat="1">
      <alignment shrinkToFit="0" vertical="center" wrapText="1"/>
    </xf>
    <xf borderId="0" fillId="0" fontId="42" numFmtId="0" xfId="0" applyAlignment="1" applyFont="1">
      <alignment readingOrder="0"/>
    </xf>
    <xf borderId="0" fillId="0" fontId="9" numFmtId="172" xfId="0" applyFont="1" applyNumberFormat="1"/>
    <xf borderId="0" fillId="0" fontId="9" numFmtId="168" xfId="0" applyFont="1" applyNumberFormat="1"/>
    <xf borderId="0" fillId="19" fontId="10" numFmtId="10" xfId="0" applyAlignment="1" applyFill="1" applyFont="1" applyNumberFormat="1">
      <alignment horizontal="center"/>
    </xf>
    <xf borderId="0" fillId="0" fontId="11" numFmtId="167" xfId="0" applyAlignment="1" applyFont="1" applyNumberFormat="1">
      <alignment horizontal="center" readingOrder="0"/>
    </xf>
    <xf borderId="0" fillId="0" fontId="9" numFmtId="2" xfId="0" applyAlignment="1" applyFont="1" applyNumberFormat="1">
      <alignment horizontal="center"/>
    </xf>
    <xf borderId="3" fillId="0" fontId="9" numFmtId="2" xfId="0" applyAlignment="1" applyBorder="1" applyFont="1" applyNumberFormat="1">
      <alignment horizontal="center"/>
    </xf>
    <xf borderId="0" fillId="0" fontId="11" numFmtId="167" xfId="0" applyAlignment="1" applyFont="1" applyNumberFormat="1">
      <alignment horizontal="center"/>
    </xf>
    <xf borderId="0" fillId="0" fontId="9" numFmtId="183" xfId="0" applyAlignment="1" applyFont="1" applyNumberFormat="1">
      <alignment horizontal="center"/>
    </xf>
    <xf borderId="3" fillId="0" fontId="9" numFmtId="183" xfId="0" applyAlignment="1" applyBorder="1" applyFont="1" applyNumberFormat="1">
      <alignment horizontal="center"/>
    </xf>
    <xf borderId="0" fillId="0" fontId="9" numFmtId="184" xfId="0" applyFont="1" applyNumberFormat="1"/>
    <xf borderId="0" fillId="0" fontId="9" numFmtId="184" xfId="0" applyAlignment="1" applyFont="1" applyNumberFormat="1">
      <alignment readingOrder="0"/>
    </xf>
    <xf borderId="0" fillId="0" fontId="25" numFmtId="18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ome.treasury.gov/resource-center/data-chart-center/interest-rates/TextView?type=daily_treasury_yield_curve&amp;field_tdr_date_value_month=202610" TargetMode="External"/><Relationship Id="rId2" Type="http://schemas.openxmlformats.org/officeDocument/2006/relationships/hyperlink" Target="https://www.sec.gov/Archives/edgar/data/1652044/000165204426000071/goog-20260630.htm" TargetMode="External"/><Relationship Id="rId3"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2" width="14.88"/>
    <col customWidth="1" min="3" max="3" width="22.25"/>
    <col customWidth="1" min="4" max="7" width="14.88"/>
  </cols>
  <sheetData>
    <row r="1" ht="19.5" customHeight="1">
      <c r="A1" s="1" t="s">
        <v>0</v>
      </c>
    </row>
    <row r="2" ht="34.5" customHeight="1">
      <c r="A2" s="2" t="s">
        <v>1</v>
      </c>
    </row>
    <row r="3" ht="19.5" customHeight="1">
      <c r="A3" s="3" t="s">
        <v>2</v>
      </c>
      <c r="B3" s="4" t="str">
        <f>Assumptions!B3</f>
        <v>Base</v>
      </c>
      <c r="C3" s="3"/>
      <c r="D3" s="3"/>
      <c r="E3" s="3"/>
      <c r="F3" s="3"/>
      <c r="G3" s="3"/>
    </row>
    <row r="4" ht="19.5" customHeight="1">
      <c r="A4" s="3" t="s">
        <v>3</v>
      </c>
      <c r="B4" s="5">
        <f>Assumptions!B4</f>
        <v>46320</v>
      </c>
      <c r="C4" s="3"/>
      <c r="D4" s="3"/>
      <c r="E4" s="3"/>
      <c r="F4" s="3"/>
      <c r="G4" s="3"/>
    </row>
    <row r="5" ht="19.5" customHeight="1">
      <c r="A5" s="3"/>
      <c r="B5" s="3"/>
      <c r="C5" s="3"/>
      <c r="D5" s="3"/>
      <c r="E5" s="3"/>
      <c r="F5" s="3"/>
      <c r="G5" s="3"/>
    </row>
    <row r="6" ht="19.5" customHeight="1">
      <c r="A6" s="6" t="s">
        <v>4</v>
      </c>
      <c r="B6" s="6" t="s">
        <v>5</v>
      </c>
      <c r="C6" s="6" t="s">
        <v>6</v>
      </c>
      <c r="D6" s="6"/>
      <c r="E6" s="6"/>
      <c r="F6" s="6"/>
      <c r="G6" s="6"/>
    </row>
    <row r="7" ht="28.5" customHeight="1">
      <c r="A7" s="7" t="s">
        <v>7</v>
      </c>
      <c r="B7" s="8">
        <f>'Discount rate'!B7</f>
        <v>3916000</v>
      </c>
      <c r="C7" s="7" t="s">
        <v>8</v>
      </c>
    </row>
    <row r="8" ht="28.5" customHeight="1">
      <c r="A8" s="7" t="s">
        <v>9</v>
      </c>
      <c r="B8" s="9">
        <f>'Financial assets'!B37</f>
        <v>12156</v>
      </c>
      <c r="C8" s="7" t="s">
        <v>10</v>
      </c>
    </row>
    <row r="9" ht="28.5" customHeight="1">
      <c r="A9" s="10" t="s">
        <v>11</v>
      </c>
      <c r="B9" s="11">
        <f>'Sources and basis'!B89</f>
        <v>0.05</v>
      </c>
      <c r="C9" s="7" t="s">
        <v>12</v>
      </c>
    </row>
    <row r="10" ht="28.5" customHeight="1">
      <c r="A10" s="10" t="s">
        <v>13</v>
      </c>
      <c r="B10" s="12">
        <f>'Discount rate'!B16</f>
        <v>1.075850485</v>
      </c>
      <c r="C10" s="10" t="s">
        <v>14</v>
      </c>
    </row>
    <row r="11" ht="28.5" customHeight="1">
      <c r="A11" s="10" t="s">
        <v>15</v>
      </c>
      <c r="B11" s="13">
        <f>'Discount rate'!B9</f>
        <v>0.042</v>
      </c>
      <c r="C11" s="7" t="s">
        <v>16</v>
      </c>
    </row>
    <row r="12" ht="28.5" customHeight="1">
      <c r="A12" s="10" t="s">
        <v>17</v>
      </c>
      <c r="B12" s="13">
        <f>'Discount rate'!B30</f>
        <v>0.054</v>
      </c>
      <c r="C12" s="10" t="s">
        <v>18</v>
      </c>
    </row>
    <row r="13" ht="28.5" customHeight="1">
      <c r="A13" s="10" t="s">
        <v>19</v>
      </c>
      <c r="B13" s="8">
        <f>'Discount rate'!B22</f>
        <v>101586</v>
      </c>
      <c r="C13" s="10" t="s">
        <v>20</v>
      </c>
    </row>
    <row r="14" ht="28.5" customHeight="1">
      <c r="A14" s="10" t="s">
        <v>21</v>
      </c>
      <c r="B14" s="8">
        <f>'Discount rate'!B36</f>
        <v>17804.325</v>
      </c>
      <c r="C14" s="10" t="s">
        <v>22</v>
      </c>
    </row>
    <row r="15" ht="28.5" customHeight="1">
      <c r="A15" s="10" t="s">
        <v>23</v>
      </c>
      <c r="B15" s="13">
        <f>'Discount rate'!B37</f>
        <v>0.09518572036</v>
      </c>
      <c r="C15" s="10" t="s">
        <v>24</v>
      </c>
    </row>
    <row r="16" ht="28.5" customHeight="1">
      <c r="A16" s="10" t="s">
        <v>25</v>
      </c>
      <c r="B16" s="14">
        <f>'Sources and basis'!B55</f>
        <v>2590</v>
      </c>
      <c r="C16" s="15" t="s">
        <v>26</v>
      </c>
    </row>
    <row r="17" ht="28.5" customHeight="1">
      <c r="A17" s="10" t="s">
        <v>27</v>
      </c>
      <c r="B17" s="8">
        <f>IF(ISNUMBER('Discount rate'!B50),'Discount rate'!B50,"")</f>
        <v>7100</v>
      </c>
      <c r="C17" s="15" t="s">
        <v>28</v>
      </c>
    </row>
    <row r="18" ht="28.5" customHeight="1">
      <c r="A18" s="10" t="s">
        <v>29</v>
      </c>
      <c r="B18" s="8">
        <f>IF(ISNUMBER('Financial assets'!B33),'Financial assets'!B33,"")</f>
        <v>26051.53008</v>
      </c>
      <c r="C18" s="10" t="s">
        <v>30</v>
      </c>
    </row>
    <row r="19" ht="28.5" customHeight="1">
      <c r="A19" s="10" t="s">
        <v>31</v>
      </c>
      <c r="B19" s="8">
        <f>IF(COUNT('Financial assets'!H7:H10)=4,SUM('Financial assets'!H7:H10),"")</f>
        <v>170751.7426</v>
      </c>
      <c r="C19" s="10" t="s">
        <v>32</v>
      </c>
    </row>
    <row r="20" ht="28.5" customHeight="1">
      <c r="A20" s="10" t="s">
        <v>33</v>
      </c>
      <c r="B20" s="8">
        <f>IF(COUNT('Financial assets'!H11:H12)=2,SUM('Financial assets'!H11:H12),"")</f>
        <v>110463.1995</v>
      </c>
      <c r="C20" s="10" t="s">
        <v>34</v>
      </c>
    </row>
    <row r="21" ht="28.5" customHeight="1">
      <c r="A21" s="10" t="s">
        <v>35</v>
      </c>
      <c r="B21" s="16">
        <f>Assumptions!B197</f>
        <v>0.03</v>
      </c>
      <c r="C21" s="15" t="str">
        <f>"Base 3.0% (Bear 1.5%, Bull 3.5%); below WACC and the "&amp;TEXT('Discount rate'!B8,"0.00%")&amp;" Treasury yield"</f>
        <v>Base 3.0% (Bear 1.5%, Bull 3.5%); below WACC and the 5.00% Treasury yield</v>
      </c>
    </row>
    <row r="22" ht="28.5" customHeight="1">
      <c r="A22" s="10" t="s">
        <v>36</v>
      </c>
      <c r="B22" s="16">
        <f>Transition!B25</f>
        <v>0.2288466718</v>
      </c>
      <c r="C22" s="15" t="s">
        <v>37</v>
      </c>
    </row>
    <row r="23" ht="28.5" customHeight="1">
      <c r="A23" s="10" t="s">
        <v>38</v>
      </c>
      <c r="B23" s="17" t="b">
        <v>0</v>
      </c>
      <c r="C23" s="15" t="s">
        <v>39</v>
      </c>
    </row>
    <row r="24" ht="19.5" customHeight="1">
      <c r="A24" s="18" t="s">
        <v>40</v>
      </c>
      <c r="B24" s="19">
        <v>1.0</v>
      </c>
      <c r="C24" s="18" t="s">
        <v>41</v>
      </c>
      <c r="D24" s="3"/>
      <c r="E24" s="3"/>
      <c r="F24" s="3"/>
      <c r="G24" s="3"/>
    </row>
    <row r="25" ht="19.5" customHeight="1">
      <c r="A25" s="3"/>
      <c r="B25" s="3"/>
      <c r="C25" s="3"/>
      <c r="D25" s="3"/>
      <c r="E25" s="3"/>
      <c r="F25" s="3"/>
      <c r="G25" s="3"/>
    </row>
    <row r="26" ht="19.5" customHeight="1">
      <c r="A26" s="3" t="s">
        <v>42</v>
      </c>
      <c r="B26" s="20">
        <f>IF(COUNT(B9:B11)=3,B9+B10*B11,"")</f>
        <v>0.09518572036</v>
      </c>
      <c r="C26" s="3"/>
      <c r="D26" s="3"/>
      <c r="E26" s="3"/>
      <c r="F26" s="3"/>
      <c r="G26" s="3"/>
    </row>
    <row r="27" ht="19.5" customHeight="1">
      <c r="A27" s="3" t="s">
        <v>43</v>
      </c>
      <c r="B27" s="21">
        <f>IF(ISNUMBER(B7),B7,"")</f>
        <v>3916000</v>
      </c>
      <c r="C27" s="3"/>
      <c r="D27" s="3"/>
      <c r="E27" s="3"/>
      <c r="F27" s="3"/>
      <c r="G27" s="3"/>
    </row>
    <row r="28" ht="19.5" customHeight="1">
      <c r="A28" s="3" t="s">
        <v>44</v>
      </c>
      <c r="B28" s="21">
        <f>IF(AND(ISNUMBER(B27),COUNT(B13:B14)=2,ISNUMBER(B16)),SUM(B27,B13:B14,B16),"")</f>
        <v>4037980.325</v>
      </c>
      <c r="C28" s="3"/>
      <c r="D28" s="3"/>
      <c r="E28" s="3"/>
      <c r="F28" s="3"/>
      <c r="G28" s="3"/>
    </row>
    <row r="29" ht="19.5" customHeight="1">
      <c r="A29" s="22" t="s">
        <v>45</v>
      </c>
      <c r="B29" s="23">
        <f>IF(AND(COUNT(B12:B16)=5,ISNUMBER(B26),ISNUMBER(B28),B28&gt;0),B27/B28*B26+(B13+B16)/B28*B12*(1-Assumptions!B5)+B14/B28*B15,"")</f>
        <v>0.09383060741</v>
      </c>
      <c r="C29" s="24" t="s">
        <v>46</v>
      </c>
      <c r="D29" s="22"/>
      <c r="E29" s="22"/>
      <c r="F29" s="22"/>
      <c r="G29" s="22"/>
    </row>
    <row r="30" ht="19.5" customHeight="1">
      <c r="A30" s="3" t="s">
        <v>47</v>
      </c>
      <c r="B30" s="21" t="str">
        <f>IF(COUNT(B7:B22)&lt;16,"Market / bridge inputs pending",IF(NOT(B23),"Baseline review pending",IF(OR(B29&lt;=B21,B22&lt;=B21),"Review terminal assumptions","Ready")))</f>
        <v>Baseline review pending</v>
      </c>
    </row>
    <row r="31" ht="19.5" customHeight="1">
      <c r="A31" s="3"/>
      <c r="B31" s="3"/>
      <c r="C31" s="3"/>
      <c r="D31" s="3"/>
      <c r="E31" s="3"/>
      <c r="F31" s="3"/>
      <c r="G31" s="3"/>
    </row>
    <row r="32" ht="19.5" customHeight="1">
      <c r="A32" s="3"/>
      <c r="B32" s="3"/>
      <c r="C32" s="3"/>
      <c r="D32" s="3"/>
      <c r="E32" s="3"/>
      <c r="F32" s="3"/>
      <c r="G32" s="3"/>
    </row>
    <row r="33" ht="19.5" customHeight="1">
      <c r="A33" s="25" t="s">
        <v>48</v>
      </c>
      <c r="B33" s="25" t="s">
        <v>49</v>
      </c>
      <c r="C33" s="26" t="s">
        <v>50</v>
      </c>
      <c r="D33" s="26" t="s">
        <v>51</v>
      </c>
      <c r="E33" s="26" t="s">
        <v>52</v>
      </c>
      <c r="F33" s="26" t="s">
        <v>53</v>
      </c>
      <c r="G33" s="26" t="s">
        <v>54</v>
      </c>
    </row>
    <row r="34" ht="19.5" customHeight="1">
      <c r="A34" s="3" t="s">
        <v>55</v>
      </c>
      <c r="B34" s="27">
        <f>DATE(2026,12,31)</f>
        <v>46387</v>
      </c>
      <c r="C34" s="27">
        <f>DATE(2027,12,31)</f>
        <v>46752</v>
      </c>
      <c r="D34" s="27">
        <f>DATE(2028,12,31)</f>
        <v>47118</v>
      </c>
      <c r="E34" s="27">
        <f>DATE(2029,12,31)</f>
        <v>47483</v>
      </c>
      <c r="F34" s="27">
        <f>DATE(2030,12,31)</f>
        <v>47848</v>
      </c>
      <c r="G34" s="27">
        <f>DATE(2031,12,31)</f>
        <v>48213</v>
      </c>
    </row>
    <row r="35" ht="19.5" customHeight="1">
      <c r="A35" s="3" t="s">
        <v>56</v>
      </c>
      <c r="B35" s="28">
        <f>YEARFRAC($B$4,B34,3)*IF($B$24=1,0.5,1)</f>
        <v>0.09178082192</v>
      </c>
      <c r="C35" s="28">
        <f t="shared" ref="C35:G35" si="1">YEARFRAC($B$4,C34,3)-IF($B$24=1,0.5,0)</f>
        <v>0.6835616438</v>
      </c>
      <c r="D35" s="28">
        <f t="shared" si="1"/>
        <v>1.68630137</v>
      </c>
      <c r="E35" s="28">
        <f t="shared" si="1"/>
        <v>2.68630137</v>
      </c>
      <c r="F35" s="28">
        <f t="shared" si="1"/>
        <v>3.68630137</v>
      </c>
      <c r="G35" s="28">
        <f t="shared" si="1"/>
        <v>4.68630137</v>
      </c>
    </row>
    <row r="36" ht="19.5" customHeight="1">
      <c r="A36" s="3" t="s">
        <v>57</v>
      </c>
      <c r="B36" s="29">
        <f>(B34-$B$4)/(B34-DATE(2026,6,30))</f>
        <v>0.3641304348</v>
      </c>
      <c r="C36" s="29">
        <f t="shared" ref="C36:G36" si="2">1</f>
        <v>1</v>
      </c>
      <c r="D36" s="29">
        <f t="shared" si="2"/>
        <v>1</v>
      </c>
      <c r="E36" s="29">
        <f t="shared" si="2"/>
        <v>1</v>
      </c>
      <c r="F36" s="29">
        <f t="shared" si="2"/>
        <v>1</v>
      </c>
      <c r="G36" s="29">
        <f t="shared" si="2"/>
        <v>1</v>
      </c>
    </row>
    <row r="37" ht="19.5" customHeight="1">
      <c r="A37" s="3" t="s">
        <v>58</v>
      </c>
      <c r="B37" s="4">
        <f>'Capital and FCFF'!B38</f>
        <v>-28017.16483</v>
      </c>
      <c r="C37" s="4">
        <f>'Capital and FCFF'!C38</f>
        <v>713.3955457</v>
      </c>
      <c r="D37" s="4">
        <f>'Capital and FCFF'!D38</f>
        <v>45919.55455</v>
      </c>
      <c r="E37" s="4">
        <f>'Capital and FCFF'!E38</f>
        <v>72623.18612</v>
      </c>
      <c r="F37" s="4">
        <f>'Capital and FCFF'!F38</f>
        <v>109739.8093</v>
      </c>
      <c r="G37" s="4">
        <f>'Capital and FCFF'!G38</f>
        <v>145130.8425</v>
      </c>
    </row>
    <row r="38" ht="19.5" customHeight="1">
      <c r="A38" s="3" t="s">
        <v>59</v>
      </c>
      <c r="B38" s="21">
        <f t="shared" ref="B38:G38" si="3">B37*B36</f>
        <v>-10201.90241</v>
      </c>
      <c r="C38" s="21">
        <f t="shared" si="3"/>
        <v>713.3955457</v>
      </c>
      <c r="D38" s="21">
        <f t="shared" si="3"/>
        <v>45919.55455</v>
      </c>
      <c r="E38" s="21">
        <f t="shared" si="3"/>
        <v>72623.18612</v>
      </c>
      <c r="F38" s="21">
        <f t="shared" si="3"/>
        <v>109739.8093</v>
      </c>
      <c r="G38" s="21">
        <f t="shared" si="3"/>
        <v>145130.8425</v>
      </c>
    </row>
    <row r="39" ht="19.5" customHeight="1">
      <c r="A39" s="3" t="s">
        <v>60</v>
      </c>
      <c r="B39" s="21">
        <f t="shared" ref="B39:G39" si="4">IF(AND(ISNUMBER($B$29),$B$29&gt;0),B38/(1+$B$29)^B35,"")</f>
        <v>-10118.27072</v>
      </c>
      <c r="C39" s="21">
        <f t="shared" si="4"/>
        <v>670.9738867</v>
      </c>
      <c r="D39" s="21">
        <f t="shared" si="4"/>
        <v>39474.4518</v>
      </c>
      <c r="E39" s="21">
        <f t="shared" si="4"/>
        <v>57074.70398</v>
      </c>
      <c r="F39" s="21">
        <f t="shared" si="4"/>
        <v>78846.51435</v>
      </c>
      <c r="G39" s="21">
        <f t="shared" si="4"/>
        <v>95329.63774</v>
      </c>
    </row>
    <row r="40" ht="19.5" customHeight="1">
      <c r="A40" s="3"/>
      <c r="B40" s="3"/>
      <c r="C40" s="3"/>
      <c r="D40" s="3"/>
      <c r="E40" s="3"/>
      <c r="F40" s="3"/>
      <c r="G40" s="3"/>
    </row>
    <row r="41" ht="19.5" customHeight="1">
      <c r="A41" s="3"/>
      <c r="B41" s="3"/>
      <c r="C41" s="3"/>
      <c r="D41" s="3"/>
      <c r="E41" s="3"/>
      <c r="F41" s="3"/>
      <c r="G41" s="3"/>
    </row>
    <row r="42" ht="19.5" customHeight="1">
      <c r="A42" s="25" t="s">
        <v>61</v>
      </c>
      <c r="B42" s="30">
        <f>Transition!H13</f>
        <v>294888.0285</v>
      </c>
      <c r="C42" s="25"/>
      <c r="D42" s="25"/>
      <c r="E42" s="25"/>
      <c r="F42" s="25"/>
      <c r="G42" s="25"/>
    </row>
    <row r="43" ht="19.5" customHeight="1">
      <c r="A43" s="3" t="s">
        <v>62</v>
      </c>
      <c r="B43" s="29">
        <f>Transition!H14</f>
        <v>0.1310921403</v>
      </c>
      <c r="C43" s="3"/>
      <c r="D43" s="3"/>
      <c r="E43" s="3"/>
      <c r="F43" s="3"/>
      <c r="G43" s="3"/>
    </row>
    <row r="44" ht="19.5" customHeight="1">
      <c r="A44" s="3" t="s">
        <v>63</v>
      </c>
      <c r="B44" s="31">
        <f>Transition!H16</f>
        <v>256230.5257</v>
      </c>
      <c r="C44" s="3"/>
      <c r="D44" s="3"/>
      <c r="E44" s="3"/>
      <c r="F44" s="3"/>
      <c r="G44" s="3"/>
    </row>
    <row r="45" ht="19.5" customHeight="1">
      <c r="A45" s="3" t="s">
        <v>64</v>
      </c>
      <c r="B45" s="31">
        <f>IF(AND(ISNUMBER(B29),B29&gt;B21,B22&gt;B21),B44/(B29-B21),"")</f>
        <v>4014226.655</v>
      </c>
      <c r="C45" s="3"/>
      <c r="D45" s="3"/>
      <c r="E45" s="3"/>
      <c r="F45" s="3"/>
      <c r="G45" s="3"/>
    </row>
    <row r="46" ht="19.5" customHeight="1">
      <c r="A46" s="3" t="s">
        <v>65</v>
      </c>
      <c r="B46" s="31">
        <f>IF(ISNUMBER(B45),B45/(1+B29)^Transition!G19,"")</f>
        <v>1683086.101</v>
      </c>
      <c r="C46" s="3"/>
      <c r="D46" s="3"/>
      <c r="E46" s="3"/>
      <c r="F46" s="3"/>
      <c r="G46" s="3"/>
    </row>
    <row r="47" ht="19.5" customHeight="1">
      <c r="A47" s="3"/>
      <c r="B47" s="31"/>
      <c r="C47" s="3"/>
      <c r="D47" s="3"/>
      <c r="E47" s="3"/>
      <c r="F47" s="3"/>
      <c r="G47" s="3"/>
    </row>
    <row r="48" ht="19.5" customHeight="1">
      <c r="A48" s="32" t="s">
        <v>66</v>
      </c>
      <c r="B48" s="33">
        <f>IF(AND(COUNT(B39:G39)=6,COUNT(Transition!C20:G20)=5,ISNUMBER(B46)),SUM(B39:G39)+SUM(Transition!C20:G20)+B46,"")</f>
        <v>2495918.329</v>
      </c>
      <c r="C48" s="34"/>
      <c r="D48" s="34"/>
      <c r="E48" s="34"/>
      <c r="F48" s="34"/>
      <c r="G48" s="34"/>
    </row>
    <row r="49" ht="19.5" customHeight="1">
      <c r="A49" s="3" t="s">
        <v>67</v>
      </c>
      <c r="B49" s="31">
        <f>IF(COUNT(B18:B20)=3,SUM(B18:B20),"")</f>
        <v>307266.4721</v>
      </c>
      <c r="C49" s="3"/>
      <c r="D49" s="3"/>
      <c r="E49" s="3"/>
      <c r="F49" s="3"/>
      <c r="G49" s="3"/>
    </row>
    <row r="50" ht="19.5" customHeight="1">
      <c r="A50" s="35" t="s">
        <v>68</v>
      </c>
      <c r="B50" s="31">
        <f>IF(COUNT(B8,B13:B14,B16:B17)=5,SUM(B8,B13:B14,B16:B17),"")</f>
        <v>141236.325</v>
      </c>
      <c r="C50" s="3"/>
      <c r="D50" s="3"/>
      <c r="E50" s="3"/>
      <c r="F50" s="3"/>
      <c r="G50" s="3"/>
    </row>
    <row r="51" ht="19.5" customHeight="1">
      <c r="A51" s="22" t="s">
        <v>69</v>
      </c>
      <c r="B51" s="36" t="str">
        <f>IF(AND(B30="Ready",COUNT(B48:B50)=3),B48+B49-B50,"")</f>
        <v/>
      </c>
      <c r="C51" s="22"/>
      <c r="D51" s="22"/>
      <c r="E51" s="22"/>
      <c r="F51" s="22"/>
      <c r="G51" s="22"/>
    </row>
    <row r="52" ht="19.5" customHeight="1">
      <c r="A52" s="24" t="s">
        <v>70</v>
      </c>
      <c r="B52" s="37">
        <f>IF(AND(ISNUMBER(B27),ISNUMBER(B49),ISNUMBER(B50)),B27+B50-B49,"")</f>
        <v>3749969.853</v>
      </c>
      <c r="C52" s="22"/>
      <c r="D52" s="22"/>
      <c r="E52" s="22"/>
      <c r="F52" s="22"/>
      <c r="G52" s="22"/>
    </row>
    <row r="53" ht="19.5" customHeight="1">
      <c r="A53" s="35" t="s">
        <v>71</v>
      </c>
      <c r="B53" s="29" t="str">
        <f>IF(AND(B30="Ready",ISNUMBER(B48),ISNUMBER(B52),B52&gt;0),B48/B52-1,"")</f>
        <v/>
      </c>
      <c r="C53" s="3"/>
      <c r="D53" s="3"/>
      <c r="E53" s="3"/>
      <c r="F53" s="3"/>
      <c r="G53" s="3"/>
    </row>
    <row r="54" ht="19.5" customHeight="1">
      <c r="A54" s="38" t="s">
        <v>72</v>
      </c>
      <c r="B54" s="39" t="str">
        <f>IF(AND(B30="Ready",COUNT(B48,B52)=2),B48-B52,"")</f>
        <v/>
      </c>
      <c r="C54" s="39"/>
      <c r="D54" s="39"/>
      <c r="E54" s="39"/>
      <c r="F54" s="39"/>
      <c r="G54" s="39"/>
    </row>
    <row r="55" ht="19.5" customHeight="1">
      <c r="A55" s="3"/>
      <c r="B55" s="3"/>
      <c r="C55" s="3"/>
      <c r="D55" s="3"/>
      <c r="E55" s="3"/>
      <c r="F55" s="3"/>
      <c r="G55" s="3"/>
    </row>
    <row r="56" ht="38.25" customHeight="1">
      <c r="A56" s="25" t="s">
        <v>73</v>
      </c>
      <c r="B56" s="25" t="s">
        <v>74</v>
      </c>
      <c r="C56" s="25" t="s">
        <v>75</v>
      </c>
      <c r="D56" s="25"/>
      <c r="E56" s="25"/>
      <c r="F56" s="25"/>
      <c r="G56" s="25"/>
    </row>
    <row r="57" ht="19.5" customHeight="1">
      <c r="A57" s="3" t="s">
        <v>76</v>
      </c>
      <c r="B57" s="4">
        <f>'Balance sheet'!I10</f>
        <v>242474</v>
      </c>
      <c r="C57" s="3"/>
      <c r="D57" s="3"/>
      <c r="E57" s="3"/>
      <c r="F57" s="3"/>
      <c r="G57" s="3"/>
    </row>
    <row r="58" ht="19.5" customHeight="1">
      <c r="A58" s="3" t="s">
        <v>77</v>
      </c>
      <c r="B58" s="4">
        <f>'Balance sheet'!I17</f>
        <v>131461</v>
      </c>
      <c r="C58" s="3"/>
      <c r="D58" s="3"/>
      <c r="E58" s="3"/>
      <c r="F58" s="3"/>
      <c r="G58" s="3"/>
    </row>
    <row r="59" ht="19.5" customHeight="1">
      <c r="A59" s="3" t="s">
        <v>78</v>
      </c>
      <c r="B59" s="4">
        <f>'Balance sheet'!I35+'Sources and basis'!E37</f>
        <v>100164</v>
      </c>
      <c r="C59" s="3"/>
      <c r="D59" s="3"/>
      <c r="E59" s="3"/>
      <c r="F59" s="3"/>
      <c r="G59" s="3"/>
    </row>
    <row r="60" ht="19.5" customHeight="1">
      <c r="A60" s="3" t="s">
        <v>79</v>
      </c>
      <c r="B60" s="4">
        <f>'Balance sheet'!I44</f>
        <v>18023</v>
      </c>
      <c r="C60" s="3"/>
      <c r="D60" s="3"/>
      <c r="E60" s="3"/>
      <c r="F60" s="3"/>
      <c r="G60" s="3"/>
    </row>
    <row r="61" ht="19.5" customHeight="1">
      <c r="A61" s="3" t="s">
        <v>80</v>
      </c>
      <c r="B61" s="4">
        <f>'Sources and basis'!B54</f>
        <v>7100</v>
      </c>
      <c r="C61" s="3"/>
      <c r="D61" s="3"/>
      <c r="E61" s="3"/>
      <c r="F61" s="3"/>
      <c r="G61" s="3"/>
    </row>
    <row r="62" ht="19.5" customHeight="1">
      <c r="A62" s="3"/>
      <c r="B62" s="3"/>
      <c r="C62" s="3"/>
      <c r="D62" s="3"/>
      <c r="E62" s="3"/>
      <c r="F62" s="3"/>
      <c r="G62" s="3"/>
    </row>
    <row r="63" ht="34.5" customHeight="1">
      <c r="A63" s="2" t="s">
        <v>81</v>
      </c>
    </row>
    <row r="64" ht="34.5" customHeight="1">
      <c r="A64" s="2" t="s">
        <v>82</v>
      </c>
    </row>
    <row r="65" ht="34.5" customHeight="1">
      <c r="A65" s="2" t="s">
        <v>83</v>
      </c>
    </row>
    <row r="68" ht="36.0" customHeight="1">
      <c r="A68" s="40" t="s">
        <v>84</v>
      </c>
      <c r="B68" s="40" t="s">
        <v>85</v>
      </c>
      <c r="C68" s="40" t="s">
        <v>86</v>
      </c>
      <c r="D68" s="41"/>
      <c r="E68" s="41"/>
      <c r="F68" s="41"/>
      <c r="G68" s="41"/>
    </row>
    <row r="69" ht="36.0" customHeight="1">
      <c r="A69" s="40" t="s">
        <v>87</v>
      </c>
      <c r="B69" s="41"/>
      <c r="C69" s="40" t="s">
        <v>88</v>
      </c>
    </row>
    <row r="70" ht="36.0" customHeight="1">
      <c r="A70" s="40" t="s">
        <v>89</v>
      </c>
      <c r="B70" s="41"/>
      <c r="C70" s="40" t="s">
        <v>90</v>
      </c>
    </row>
    <row r="71" ht="36.0" customHeight="1">
      <c r="A71" s="40" t="s">
        <v>91</v>
      </c>
      <c r="B71" s="41"/>
      <c r="C71" s="40" t="s">
        <v>92</v>
      </c>
    </row>
    <row r="74">
      <c r="A74" s="42" t="s">
        <v>93</v>
      </c>
      <c r="B74" s="42" t="s">
        <v>74</v>
      </c>
      <c r="C74" s="42" t="s">
        <v>94</v>
      </c>
      <c r="D74" s="42"/>
      <c r="E74" s="42"/>
      <c r="F74" s="42"/>
      <c r="G74" s="42"/>
    </row>
    <row r="75" ht="36.0" customHeight="1">
      <c r="A75" s="43" t="s">
        <v>95</v>
      </c>
      <c r="B75" s="43">
        <f>'Sources and basis'!B90</f>
        <v>126000</v>
      </c>
      <c r="C75" s="43" t="s">
        <v>96</v>
      </c>
    </row>
    <row r="76" ht="36.0" customHeight="1">
      <c r="A76" s="43" t="s">
        <v>97</v>
      </c>
      <c r="B76" s="43">
        <f>'Sources and basis'!B91</f>
        <v>16000</v>
      </c>
      <c r="C76" s="43" t="s">
        <v>98</v>
      </c>
    </row>
    <row r="77" ht="36.0" customHeight="1">
      <c r="A77" s="44" t="s">
        <v>99</v>
      </c>
      <c r="B77" s="45" t="s">
        <v>100</v>
      </c>
      <c r="C77" s="44" t="s">
        <v>101</v>
      </c>
    </row>
    <row r="78" ht="36.0" customHeight="1">
      <c r="A78" s="44" t="s">
        <v>102</v>
      </c>
      <c r="B78" s="44" t="s">
        <v>103</v>
      </c>
      <c r="C78" s="44" t="s">
        <v>104</v>
      </c>
    </row>
    <row r="79" ht="36.0" customHeight="1">
      <c r="A79" s="44" t="s">
        <v>105</v>
      </c>
      <c r="B79" s="44" t="s">
        <v>106</v>
      </c>
      <c r="C79" s="44" t="s">
        <v>107</v>
      </c>
    </row>
    <row r="80">
      <c r="A80" s="43"/>
      <c r="B80" s="43"/>
      <c r="C80" s="43"/>
      <c r="D80" s="43"/>
      <c r="E80" s="43"/>
      <c r="F80" s="43"/>
      <c r="G80" s="43"/>
    </row>
    <row r="81">
      <c r="A81" s="43"/>
      <c r="B81" s="43"/>
      <c r="C81" s="43"/>
      <c r="D81" s="43"/>
      <c r="E81" s="43"/>
      <c r="F81" s="43"/>
      <c r="G81" s="43"/>
    </row>
    <row r="82">
      <c r="A82" s="46" t="s">
        <v>108</v>
      </c>
      <c r="B82" s="46" t="s">
        <v>109</v>
      </c>
      <c r="C82" s="42"/>
      <c r="D82" s="42"/>
      <c r="E82" s="42"/>
      <c r="F82" s="42"/>
      <c r="G82" s="42"/>
    </row>
    <row r="83">
      <c r="A83" s="44" t="s">
        <v>110</v>
      </c>
      <c r="B83" s="44" t="s">
        <v>106</v>
      </c>
      <c r="C83" s="44" t="s">
        <v>111</v>
      </c>
      <c r="D83" s="43"/>
      <c r="E83" s="43"/>
      <c r="F83" s="43"/>
      <c r="G83" s="43"/>
    </row>
    <row r="84">
      <c r="A84" s="44" t="s">
        <v>112</v>
      </c>
      <c r="B84" s="44" t="s">
        <v>113</v>
      </c>
      <c r="C84" s="44" t="s">
        <v>114</v>
      </c>
      <c r="D84" s="43"/>
      <c r="E84" s="43"/>
      <c r="F84" s="43"/>
      <c r="G84" s="43"/>
    </row>
    <row r="85">
      <c r="A85" s="44" t="s">
        <v>115</v>
      </c>
      <c r="B85" s="44" t="s">
        <v>106</v>
      </c>
      <c r="C85" s="44" t="s">
        <v>116</v>
      </c>
      <c r="D85" s="43"/>
      <c r="E85" s="43"/>
      <c r="F85" s="43"/>
      <c r="G85" s="43"/>
    </row>
    <row r="86">
      <c r="A86" s="44" t="s">
        <v>117</v>
      </c>
      <c r="B86" s="44" t="s">
        <v>118</v>
      </c>
      <c r="C86" s="44" t="s">
        <v>119</v>
      </c>
      <c r="D86" s="43"/>
      <c r="E86" s="43"/>
      <c r="F86" s="43"/>
      <c r="G86" s="43"/>
    </row>
    <row r="87">
      <c r="A87" s="44" t="s">
        <v>120</v>
      </c>
      <c r="B87" s="44" t="s">
        <v>106</v>
      </c>
      <c r="C87" s="44" t="s">
        <v>121</v>
      </c>
      <c r="D87" s="43"/>
      <c r="E87" s="43"/>
      <c r="F87" s="43"/>
      <c r="G87" s="43"/>
    </row>
    <row r="94">
      <c r="A94" s="47" t="s">
        <v>122</v>
      </c>
    </row>
    <row r="95">
      <c r="A95" s="47" t="s">
        <v>123</v>
      </c>
      <c r="B95" s="47" t="s">
        <v>45</v>
      </c>
      <c r="C95" s="47" t="s">
        <v>124</v>
      </c>
      <c r="D95" s="47"/>
      <c r="E95" s="47"/>
      <c r="F95" s="47"/>
      <c r="G95" s="47"/>
    </row>
    <row r="96">
      <c r="A96" s="48">
        <v>-0.02</v>
      </c>
      <c r="B96" s="49">
        <f t="shared" ref="B96:B100" si="5">$B$29+A96</f>
        <v>0.07383060741</v>
      </c>
      <c r="C96" s="50">
        <f>IF(B96&gt;$B$21,SUMPRODUCT($B$38:$G$38,1/(1+B96)^$B$35:$G$35)+SUMPRODUCT(Transition!$C$16:$G$16,1/(1+B96)^Transition!$C$19:$G$19)+$B$44/(B96-$B$21)/(1+B96)^Transition!$G$19,"")</f>
        <v>3846853.688</v>
      </c>
    </row>
    <row r="97">
      <c r="A97" s="48">
        <v>-0.01</v>
      </c>
      <c r="B97" s="49">
        <f t="shared" si="5"/>
        <v>0.08383060741</v>
      </c>
      <c r="C97" s="50">
        <f>IF(B97&gt;$B$21,SUMPRODUCT($B$38:$G$38,1/(1+B97)^$B$35:$G$35)+SUMPRODUCT(Transition!$C$16:$G$16,1/(1+B97)^Transition!$C$19:$G$19)+$B$44/(B97-$B$21)/(1+B97)^Transition!$G$19,"")</f>
        <v>3043873.815</v>
      </c>
    </row>
    <row r="98">
      <c r="A98" s="51">
        <v>0.0</v>
      </c>
      <c r="B98" s="52">
        <f t="shared" si="5"/>
        <v>0.09383060741</v>
      </c>
      <c r="C98" s="53">
        <f>IF(B98&gt;$B$21,SUMPRODUCT($B$38:$G$38,1/(1+B98)^$B$35:$G$35)+SUMPRODUCT(Transition!$C$16:$G$16,1/(1+B98)^Transition!$C$19:$G$19)+$B$44/(B98-$B$21)/(1+B98)^Transition!$G$19,"")</f>
        <v>2495918.329</v>
      </c>
    </row>
    <row r="99">
      <c r="A99" s="48">
        <v>0.01</v>
      </c>
      <c r="B99" s="49">
        <f t="shared" si="5"/>
        <v>0.1038306074</v>
      </c>
      <c r="C99" s="50">
        <f>IF(B99&gt;$B$21,SUMPRODUCT($B$38:$G$38,1/(1+B99)^$B$35:$G$35)+SUMPRODUCT(Transition!$C$16:$G$16,1/(1+B99)^Transition!$C$19:$G$19)+$B$44/(B99-$B$21)/(1+B99)^Transition!$G$19,"")</f>
        <v>2099188.12</v>
      </c>
    </row>
    <row r="100">
      <c r="A100" s="48">
        <v>0.02</v>
      </c>
      <c r="B100" s="49">
        <f t="shared" si="5"/>
        <v>0.1138306074</v>
      </c>
      <c r="C100" s="50">
        <f>IF(B100&gt;$B$21,SUMPRODUCT($B$38:$G$38,1/(1+B100)^$B$35:$G$35)+SUMPRODUCT(Transition!$C$16:$G$16,1/(1+B100)^Transition!$C$19:$G$19)+$B$44/(B100-$B$21)/(1+B100)^Transition!$G$19,"")</f>
        <v>1799422.252</v>
      </c>
    </row>
    <row r="103" ht="37.5" customHeight="1">
      <c r="A103" s="54" t="s">
        <v>125</v>
      </c>
    </row>
  </sheetData>
  <mergeCells count="33">
    <mergeCell ref="A1:G1"/>
    <mergeCell ref="A2:G2"/>
    <mergeCell ref="C7:G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B30:G30"/>
    <mergeCell ref="A63:G63"/>
    <mergeCell ref="C77:G77"/>
    <mergeCell ref="C78:G78"/>
    <mergeCell ref="C79:G79"/>
    <mergeCell ref="A94:G94"/>
    <mergeCell ref="A103:G103"/>
    <mergeCell ref="A64:G64"/>
    <mergeCell ref="A65:G65"/>
    <mergeCell ref="C69:G69"/>
    <mergeCell ref="C70:G70"/>
    <mergeCell ref="C71:G71"/>
    <mergeCell ref="C75:G75"/>
    <mergeCell ref="C76:G7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8" width="45.75"/>
  </cols>
  <sheetData>
    <row r="1" ht="19.5" customHeight="1">
      <c r="A1" s="1" t="s">
        <v>126</v>
      </c>
    </row>
    <row r="2" ht="34.5" customHeight="1">
      <c r="A2" s="55" t="s">
        <v>127</v>
      </c>
    </row>
    <row r="3" ht="19.5" customHeight="1">
      <c r="A3" s="3" t="s">
        <v>2</v>
      </c>
      <c r="B3" s="56" t="s">
        <v>128</v>
      </c>
      <c r="C3" s="3"/>
      <c r="D3" s="3"/>
      <c r="E3" s="3"/>
      <c r="F3" s="3"/>
      <c r="G3" s="3"/>
      <c r="H3" s="3"/>
    </row>
    <row r="4" ht="19.5" customHeight="1">
      <c r="A4" s="3" t="s">
        <v>3</v>
      </c>
      <c r="B4" s="27">
        <f>DATE(2026,10,25)</f>
        <v>46320</v>
      </c>
      <c r="C4" s="3"/>
      <c r="D4" s="3"/>
      <c r="E4" s="3"/>
      <c r="F4" s="3"/>
      <c r="G4" s="3"/>
      <c r="H4" s="3"/>
    </row>
    <row r="5" ht="19.5" customHeight="1">
      <c r="A5" s="3" t="s">
        <v>129</v>
      </c>
      <c r="B5" s="57">
        <v>0.21</v>
      </c>
      <c r="C5" s="3"/>
      <c r="D5" s="3"/>
      <c r="E5" s="3"/>
      <c r="F5" s="3"/>
      <c r="G5" s="3"/>
      <c r="H5" s="3"/>
    </row>
    <row r="6" ht="19.5" customHeight="1">
      <c r="A6" s="6" t="s">
        <v>130</v>
      </c>
      <c r="B6" s="6" t="s">
        <v>49</v>
      </c>
      <c r="C6" s="58" t="s">
        <v>50</v>
      </c>
      <c r="D6" s="58" t="s">
        <v>51</v>
      </c>
      <c r="E6" s="58" t="s">
        <v>52</v>
      </c>
      <c r="F6" s="58" t="s">
        <v>53</v>
      </c>
      <c r="G6" s="58" t="s">
        <v>54</v>
      </c>
      <c r="H6" s="6" t="s">
        <v>131</v>
      </c>
    </row>
    <row r="7" ht="48.0" customHeight="1">
      <c r="A7" s="25" t="s">
        <v>132</v>
      </c>
      <c r="B7" s="59">
        <f t="shared" ref="B7:G7" si="1">INDEX(B8:B10,MATCH($B$3,$A8:$A10,0))</f>
        <v>0.1790222324</v>
      </c>
      <c r="C7" s="59">
        <f t="shared" si="1"/>
        <v>0.15</v>
      </c>
      <c r="D7" s="59">
        <f t="shared" si="1"/>
        <v>0.13</v>
      </c>
      <c r="E7" s="59">
        <f t="shared" si="1"/>
        <v>0.11</v>
      </c>
      <c r="F7" s="59">
        <f t="shared" si="1"/>
        <v>0.09</v>
      </c>
      <c r="G7" s="59">
        <f t="shared" si="1"/>
        <v>0.08</v>
      </c>
      <c r="H7" s="25" t="s">
        <v>133</v>
      </c>
    </row>
    <row r="8" ht="19.5" customHeight="1">
      <c r="A8" s="3" t="s">
        <v>128</v>
      </c>
      <c r="B8" s="60">
        <f>'Historical base'!E8/'Historical base'!D8-1</f>
        <v>0.1790222324</v>
      </c>
      <c r="C8" s="57">
        <v>0.15</v>
      </c>
      <c r="D8" s="57">
        <v>0.13</v>
      </c>
      <c r="E8" s="57">
        <v>0.11</v>
      </c>
      <c r="F8" s="57">
        <v>0.09</v>
      </c>
      <c r="G8" s="57">
        <v>0.08</v>
      </c>
      <c r="H8" s="10"/>
    </row>
    <row r="9" ht="19.5" customHeight="1">
      <c r="A9" s="3" t="s">
        <v>134</v>
      </c>
      <c r="B9" s="57">
        <v>0.22</v>
      </c>
      <c r="C9" s="57">
        <v>0.2</v>
      </c>
      <c r="D9" s="57">
        <v>0.18</v>
      </c>
      <c r="E9" s="57">
        <v>0.16</v>
      </c>
      <c r="F9" s="57">
        <v>0.14</v>
      </c>
      <c r="G9" s="57">
        <v>0.12</v>
      </c>
      <c r="H9" s="10"/>
    </row>
    <row r="10" ht="19.5" customHeight="1">
      <c r="A10" s="3" t="s">
        <v>135</v>
      </c>
      <c r="B10" s="57">
        <v>0.1</v>
      </c>
      <c r="C10" s="57">
        <v>0.1</v>
      </c>
      <c r="D10" s="57">
        <v>0.08</v>
      </c>
      <c r="E10" s="57">
        <v>0.06</v>
      </c>
      <c r="F10" s="57">
        <v>0.04</v>
      </c>
      <c r="G10" s="57">
        <v>0.03</v>
      </c>
      <c r="H10" s="10"/>
    </row>
    <row r="11" ht="19.5" customHeight="1">
      <c r="A11" s="3"/>
      <c r="B11" s="3"/>
      <c r="C11" s="3"/>
      <c r="D11" s="3"/>
      <c r="E11" s="3"/>
      <c r="F11" s="3"/>
      <c r="G11" s="3"/>
      <c r="H11" s="10"/>
    </row>
    <row r="12" ht="48.0" customHeight="1">
      <c r="A12" s="25" t="s">
        <v>136</v>
      </c>
      <c r="B12" s="59">
        <f t="shared" ref="B12:G12" si="2">INDEX(B13:B15,MATCH($B$3,$A13:$A15,0))</f>
        <v>0.1183036906</v>
      </c>
      <c r="C12" s="59">
        <f t="shared" si="2"/>
        <v>0.12</v>
      </c>
      <c r="D12" s="59">
        <f t="shared" si="2"/>
        <v>0.11</v>
      </c>
      <c r="E12" s="59">
        <f t="shared" si="2"/>
        <v>0.1</v>
      </c>
      <c r="F12" s="59">
        <f t="shared" si="2"/>
        <v>0.09</v>
      </c>
      <c r="G12" s="59">
        <f t="shared" si="2"/>
        <v>0.08</v>
      </c>
      <c r="H12" s="25" t="s">
        <v>137</v>
      </c>
    </row>
    <row r="13" ht="19.5" customHeight="1">
      <c r="A13" s="3" t="s">
        <v>128</v>
      </c>
      <c r="B13" s="60">
        <f>'Historical base'!E9/'Historical base'!D9-1</f>
        <v>0.1183036906</v>
      </c>
      <c r="C13" s="57">
        <v>0.12</v>
      </c>
      <c r="D13" s="57">
        <v>0.11</v>
      </c>
      <c r="E13" s="57">
        <v>0.1</v>
      </c>
      <c r="F13" s="57">
        <v>0.09</v>
      </c>
      <c r="G13" s="57">
        <v>0.08</v>
      </c>
      <c r="H13" s="10"/>
    </row>
    <row r="14" ht="19.5" customHeight="1">
      <c r="A14" s="3" t="s">
        <v>134</v>
      </c>
      <c r="B14" s="57">
        <v>0.16</v>
      </c>
      <c r="C14" s="57">
        <v>0.16</v>
      </c>
      <c r="D14" s="57">
        <v>0.15</v>
      </c>
      <c r="E14" s="57">
        <v>0.14</v>
      </c>
      <c r="F14" s="57">
        <v>0.13</v>
      </c>
      <c r="G14" s="57">
        <v>0.12</v>
      </c>
      <c r="H14" s="10"/>
    </row>
    <row r="15" ht="19.5" customHeight="1">
      <c r="A15" s="3" t="s">
        <v>135</v>
      </c>
      <c r="B15" s="57">
        <v>0.07</v>
      </c>
      <c r="C15" s="57">
        <v>0.07</v>
      </c>
      <c r="D15" s="57">
        <v>0.06</v>
      </c>
      <c r="E15" s="57">
        <v>0.05</v>
      </c>
      <c r="F15" s="57">
        <v>0.04</v>
      </c>
      <c r="G15" s="57">
        <v>0.03</v>
      </c>
      <c r="H15" s="10"/>
    </row>
    <row r="16" ht="19.5" customHeight="1">
      <c r="A16" s="3"/>
      <c r="B16" s="3"/>
      <c r="C16" s="3"/>
      <c r="D16" s="3"/>
      <c r="E16" s="3"/>
      <c r="F16" s="3"/>
      <c r="G16" s="3"/>
      <c r="H16" s="10"/>
    </row>
    <row r="17" ht="48.0" customHeight="1">
      <c r="A17" s="25" t="s">
        <v>138</v>
      </c>
      <c r="B17" s="59">
        <f t="shared" ref="B17:G17" si="3">INDEX(B18:B20,MATCH($B$3,$A18:$A20,0))</f>
        <v>-0.02299794661</v>
      </c>
      <c r="C17" s="59">
        <f t="shared" si="3"/>
        <v>-0.03</v>
      </c>
      <c r="D17" s="59">
        <f t="shared" si="3"/>
        <v>-0.03</v>
      </c>
      <c r="E17" s="59">
        <f t="shared" si="3"/>
        <v>-0.02</v>
      </c>
      <c r="F17" s="59">
        <f t="shared" si="3"/>
        <v>-0.02</v>
      </c>
      <c r="G17" s="59">
        <f t="shared" si="3"/>
        <v>-0.02</v>
      </c>
      <c r="H17" s="25" t="s">
        <v>139</v>
      </c>
    </row>
    <row r="18" ht="19.5" customHeight="1">
      <c r="A18" s="3" t="s">
        <v>128</v>
      </c>
      <c r="B18" s="60">
        <f>'Historical base'!E10/'Historical base'!D10-1</f>
        <v>-0.02299794661</v>
      </c>
      <c r="C18" s="57">
        <v>-0.03</v>
      </c>
      <c r="D18" s="57">
        <v>-0.03</v>
      </c>
      <c r="E18" s="57">
        <v>-0.02</v>
      </c>
      <c r="F18" s="57">
        <v>-0.02</v>
      </c>
      <c r="G18" s="57">
        <v>-0.02</v>
      </c>
      <c r="H18" s="10"/>
    </row>
    <row r="19" ht="19.5" customHeight="1">
      <c r="A19" s="3" t="s">
        <v>134</v>
      </c>
      <c r="B19" s="57">
        <v>0.0</v>
      </c>
      <c r="C19" s="57">
        <v>0.0</v>
      </c>
      <c r="D19" s="57">
        <v>0.01</v>
      </c>
      <c r="E19" s="57">
        <v>0.02</v>
      </c>
      <c r="F19" s="57">
        <v>0.02</v>
      </c>
      <c r="G19" s="57">
        <v>0.02</v>
      </c>
      <c r="H19" s="10"/>
    </row>
    <row r="20" ht="19.5" customHeight="1">
      <c r="A20" s="3" t="s">
        <v>135</v>
      </c>
      <c r="B20" s="57">
        <v>-0.08</v>
      </c>
      <c r="C20" s="57">
        <v>-0.08</v>
      </c>
      <c r="D20" s="57">
        <v>-0.07</v>
      </c>
      <c r="E20" s="57">
        <v>-0.06</v>
      </c>
      <c r="F20" s="57">
        <v>-0.05</v>
      </c>
      <c r="G20" s="57">
        <v>-0.05</v>
      </c>
      <c r="H20" s="10"/>
    </row>
    <row r="21" ht="19.5" customHeight="1">
      <c r="A21" s="3"/>
      <c r="B21" s="3"/>
      <c r="C21" s="3"/>
      <c r="D21" s="3"/>
      <c r="E21" s="3"/>
      <c r="F21" s="3"/>
      <c r="G21" s="3"/>
      <c r="H21" s="10"/>
    </row>
    <row r="22" ht="48.0" customHeight="1">
      <c r="A22" s="25" t="s">
        <v>140</v>
      </c>
      <c r="B22" s="59">
        <f t="shared" ref="B22:G22" si="4">INDEX(B23:B25,MATCH($B$3,$A23:$A25,0))</f>
        <v>0.1720415161</v>
      </c>
      <c r="C22" s="59">
        <f t="shared" si="4"/>
        <v>0.15</v>
      </c>
      <c r="D22" s="59">
        <f t="shared" si="4"/>
        <v>0.13</v>
      </c>
      <c r="E22" s="59">
        <f t="shared" si="4"/>
        <v>0.12</v>
      </c>
      <c r="F22" s="59">
        <f t="shared" si="4"/>
        <v>0.1</v>
      </c>
      <c r="G22" s="59">
        <f t="shared" si="4"/>
        <v>0.09</v>
      </c>
      <c r="H22" s="25" t="s">
        <v>141</v>
      </c>
    </row>
    <row r="23" ht="19.5" customHeight="1">
      <c r="A23" s="3" t="s">
        <v>128</v>
      </c>
      <c r="B23" s="60">
        <f>'Historical base'!E11/'Historical base'!D11-1</f>
        <v>0.1720415161</v>
      </c>
      <c r="C23" s="57">
        <v>0.15</v>
      </c>
      <c r="D23" s="57">
        <v>0.13</v>
      </c>
      <c r="E23" s="57">
        <v>0.12</v>
      </c>
      <c r="F23" s="57">
        <v>0.1</v>
      </c>
      <c r="G23" s="57">
        <v>0.09</v>
      </c>
      <c r="H23" s="10"/>
    </row>
    <row r="24" ht="19.5" customHeight="1">
      <c r="A24" s="3" t="s">
        <v>134</v>
      </c>
      <c r="B24" s="57">
        <v>0.2</v>
      </c>
      <c r="C24" s="57">
        <v>0.2</v>
      </c>
      <c r="D24" s="57">
        <v>0.18</v>
      </c>
      <c r="E24" s="57">
        <v>0.16</v>
      </c>
      <c r="F24" s="57">
        <v>0.14</v>
      </c>
      <c r="G24" s="57">
        <v>0.13</v>
      </c>
      <c r="H24" s="10"/>
    </row>
    <row r="25" ht="19.5" customHeight="1">
      <c r="A25" s="3" t="s">
        <v>135</v>
      </c>
      <c r="B25" s="57">
        <v>0.08</v>
      </c>
      <c r="C25" s="57">
        <v>0.08</v>
      </c>
      <c r="D25" s="57">
        <v>0.07</v>
      </c>
      <c r="E25" s="57">
        <v>0.06</v>
      </c>
      <c r="F25" s="57">
        <v>0.05</v>
      </c>
      <c r="G25" s="57">
        <v>0.04</v>
      </c>
      <c r="H25" s="10"/>
    </row>
    <row r="26" ht="19.5" customHeight="1">
      <c r="A26" s="3"/>
      <c r="B26" s="3"/>
      <c r="C26" s="3"/>
      <c r="D26" s="3"/>
      <c r="E26" s="3"/>
      <c r="F26" s="3"/>
      <c r="G26" s="3"/>
      <c r="H26" s="10"/>
    </row>
    <row r="27" ht="48.0" customHeight="1">
      <c r="A27" s="61" t="s">
        <v>142</v>
      </c>
      <c r="B27" s="59">
        <f t="shared" ref="B27:G27" si="5">INDEX(B28:B30,MATCH($B$3,$A28:$A30,0))</f>
        <v>0.7306444135</v>
      </c>
      <c r="C27" s="59">
        <f t="shared" si="5"/>
        <v>0.35</v>
      </c>
      <c r="D27" s="59">
        <f t="shared" si="5"/>
        <v>0.25</v>
      </c>
      <c r="E27" s="59">
        <f t="shared" si="5"/>
        <v>0.2</v>
      </c>
      <c r="F27" s="59">
        <f t="shared" si="5"/>
        <v>0.16</v>
      </c>
      <c r="G27" s="59">
        <f t="shared" si="5"/>
        <v>0.12</v>
      </c>
      <c r="H27" s="61" t="s">
        <v>143</v>
      </c>
    </row>
    <row r="28" ht="19.5" customHeight="1">
      <c r="A28" s="3" t="s">
        <v>128</v>
      </c>
      <c r="B28" s="60">
        <f>'Historical base'!E13/'Historical base'!D13-1</f>
        <v>0.7306444135</v>
      </c>
      <c r="C28" s="62">
        <v>0.35</v>
      </c>
      <c r="D28" s="62">
        <v>0.25</v>
      </c>
      <c r="E28" s="62">
        <v>0.2</v>
      </c>
      <c r="F28" s="62">
        <v>0.16</v>
      </c>
      <c r="G28" s="62">
        <v>0.12</v>
      </c>
      <c r="H28" s="10"/>
    </row>
    <row r="29" ht="19.5" customHeight="1">
      <c r="A29" s="3" t="s">
        <v>134</v>
      </c>
      <c r="B29" s="57">
        <v>0.85</v>
      </c>
      <c r="C29" s="62">
        <v>0.45</v>
      </c>
      <c r="D29" s="62">
        <v>0.35</v>
      </c>
      <c r="E29" s="62">
        <v>0.28</v>
      </c>
      <c r="F29" s="62">
        <v>0.23</v>
      </c>
      <c r="G29" s="62">
        <v>0.18</v>
      </c>
      <c r="H29" s="10"/>
    </row>
    <row r="30" ht="19.5" customHeight="1">
      <c r="A30" s="3" t="s">
        <v>135</v>
      </c>
      <c r="B30" s="57">
        <v>0.45</v>
      </c>
      <c r="C30" s="62">
        <v>0.2</v>
      </c>
      <c r="D30" s="62">
        <v>0.15</v>
      </c>
      <c r="E30" s="62">
        <v>0.1</v>
      </c>
      <c r="F30" s="62">
        <v>0.08</v>
      </c>
      <c r="G30" s="62">
        <v>0.06</v>
      </c>
      <c r="H30" s="10"/>
    </row>
    <row r="31" ht="19.5" customHeight="1">
      <c r="A31" s="3"/>
      <c r="B31" s="3"/>
      <c r="C31" s="3"/>
      <c r="D31" s="3"/>
      <c r="E31" s="3"/>
      <c r="F31" s="3"/>
      <c r="G31" s="3"/>
      <c r="H31" s="10"/>
    </row>
    <row r="32" ht="48.0" customHeight="1">
      <c r="A32" s="25" t="s">
        <v>144</v>
      </c>
      <c r="B32" s="59">
        <f t="shared" ref="B32:G32" si="6">INDEX(B33:B35,MATCH($B$3,$A33:$A35,0))</f>
        <v>0.1</v>
      </c>
      <c r="C32" s="59">
        <f t="shared" si="6"/>
        <v>0.1</v>
      </c>
      <c r="D32" s="59">
        <f t="shared" si="6"/>
        <v>0.1</v>
      </c>
      <c r="E32" s="59">
        <f t="shared" si="6"/>
        <v>0.1</v>
      </c>
      <c r="F32" s="59">
        <f t="shared" si="6"/>
        <v>0.1</v>
      </c>
      <c r="G32" s="59">
        <f t="shared" si="6"/>
        <v>0.1</v>
      </c>
      <c r="H32" s="25" t="s">
        <v>145</v>
      </c>
    </row>
    <row r="33" ht="19.5" customHeight="1">
      <c r="A33" s="3" t="s">
        <v>128</v>
      </c>
      <c r="B33" s="57">
        <v>0.1</v>
      </c>
      <c r="C33" s="57">
        <v>0.1</v>
      </c>
      <c r="D33" s="57">
        <v>0.1</v>
      </c>
      <c r="E33" s="57">
        <v>0.1</v>
      </c>
      <c r="F33" s="57">
        <v>0.1</v>
      </c>
      <c r="G33" s="57">
        <v>0.1</v>
      </c>
      <c r="H33" s="10"/>
    </row>
    <row r="34" ht="19.5" customHeight="1">
      <c r="A34" s="3" t="s">
        <v>134</v>
      </c>
      <c r="B34" s="57">
        <v>0.25</v>
      </c>
      <c r="C34" s="57">
        <v>0.25</v>
      </c>
      <c r="D34" s="57">
        <v>0.25</v>
      </c>
      <c r="E34" s="57">
        <v>0.2</v>
      </c>
      <c r="F34" s="57">
        <v>0.2</v>
      </c>
      <c r="G34" s="57">
        <v>0.2</v>
      </c>
      <c r="H34" s="10"/>
    </row>
    <row r="35" ht="19.5" customHeight="1">
      <c r="A35" s="3" t="s">
        <v>135</v>
      </c>
      <c r="B35" s="57">
        <v>0.0</v>
      </c>
      <c r="C35" s="57">
        <v>0.0</v>
      </c>
      <c r="D35" s="57">
        <v>0.0</v>
      </c>
      <c r="E35" s="57">
        <v>0.0</v>
      </c>
      <c r="F35" s="57">
        <v>0.0</v>
      </c>
      <c r="G35" s="57">
        <v>0.0</v>
      </c>
      <c r="H35" s="10"/>
    </row>
    <row r="36" ht="19.5" customHeight="1">
      <c r="A36" s="3"/>
      <c r="B36" s="3"/>
      <c r="C36" s="3"/>
      <c r="D36" s="3"/>
      <c r="E36" s="3"/>
      <c r="F36" s="3"/>
      <c r="G36" s="3"/>
      <c r="H36" s="10"/>
    </row>
    <row r="37" ht="48.0" customHeight="1">
      <c r="A37" s="25" t="s">
        <v>146</v>
      </c>
      <c r="B37" s="59">
        <f t="shared" ref="B37:G37" si="7">INDEX(B38:B40,MATCH($B$3,$A38:$A40,0))</f>
        <v>0.4350869001</v>
      </c>
      <c r="C37" s="59">
        <f t="shared" si="7"/>
        <v>0.43</v>
      </c>
      <c r="D37" s="59">
        <f t="shared" si="7"/>
        <v>0.43</v>
      </c>
      <c r="E37" s="59">
        <f t="shared" si="7"/>
        <v>0.425</v>
      </c>
      <c r="F37" s="59">
        <f t="shared" si="7"/>
        <v>0.42</v>
      </c>
      <c r="G37" s="59">
        <f t="shared" si="7"/>
        <v>0.42</v>
      </c>
      <c r="H37" s="61" t="s">
        <v>147</v>
      </c>
    </row>
    <row r="38" ht="19.5" customHeight="1">
      <c r="A38" s="3" t="s">
        <v>128</v>
      </c>
      <c r="B38" s="60">
        <f>'Historical base'!E26</f>
        <v>0.4350869001</v>
      </c>
      <c r="C38" s="57">
        <v>0.43</v>
      </c>
      <c r="D38" s="57">
        <v>0.43</v>
      </c>
      <c r="E38" s="57">
        <v>0.425</v>
      </c>
      <c r="F38" s="57">
        <v>0.42</v>
      </c>
      <c r="G38" s="57">
        <v>0.42</v>
      </c>
      <c r="H38" s="10"/>
    </row>
    <row r="39" ht="19.5" customHeight="1">
      <c r="A39" s="3" t="s">
        <v>134</v>
      </c>
      <c r="B39" s="57">
        <f t="shared" ref="B39:G39" si="8">B38</f>
        <v>0.4350869001</v>
      </c>
      <c r="C39" s="57">
        <f t="shared" si="8"/>
        <v>0.43</v>
      </c>
      <c r="D39" s="57">
        <f t="shared" si="8"/>
        <v>0.43</v>
      </c>
      <c r="E39" s="57">
        <f t="shared" si="8"/>
        <v>0.425</v>
      </c>
      <c r="F39" s="57">
        <f t="shared" si="8"/>
        <v>0.42</v>
      </c>
      <c r="G39" s="57">
        <f t="shared" si="8"/>
        <v>0.42</v>
      </c>
      <c r="H39" s="10"/>
    </row>
    <row r="40" ht="19.5" customHeight="1">
      <c r="A40" s="3" t="s">
        <v>135</v>
      </c>
      <c r="B40" s="57">
        <f t="shared" ref="B40:G40" si="9">B38</f>
        <v>0.4350869001</v>
      </c>
      <c r="C40" s="57">
        <f t="shared" si="9"/>
        <v>0.43</v>
      </c>
      <c r="D40" s="57">
        <f t="shared" si="9"/>
        <v>0.43</v>
      </c>
      <c r="E40" s="57">
        <f t="shared" si="9"/>
        <v>0.425</v>
      </c>
      <c r="F40" s="57">
        <f t="shared" si="9"/>
        <v>0.42</v>
      </c>
      <c r="G40" s="57">
        <f t="shared" si="9"/>
        <v>0.42</v>
      </c>
      <c r="H40" s="10"/>
    </row>
    <row r="41" ht="19.5" customHeight="1">
      <c r="A41" s="3"/>
      <c r="B41" s="3"/>
      <c r="C41" s="3"/>
      <c r="D41" s="3"/>
      <c r="E41" s="3"/>
      <c r="F41" s="3"/>
      <c r="G41" s="3"/>
      <c r="H41" s="10"/>
    </row>
    <row r="42" ht="48.0" customHeight="1">
      <c r="A42" s="25" t="s">
        <v>148</v>
      </c>
      <c r="B42" s="59">
        <f t="shared" ref="B42:G42" si="10">INDEX(B43:B45,MATCH($B$3,$A43:$A45,0))</f>
        <v>0.3440485758</v>
      </c>
      <c r="C42" s="59">
        <f t="shared" si="10"/>
        <v>0.35</v>
      </c>
      <c r="D42" s="59">
        <f t="shared" si="10"/>
        <v>0.36</v>
      </c>
      <c r="E42" s="59">
        <f t="shared" si="10"/>
        <v>0.37</v>
      </c>
      <c r="F42" s="59">
        <f t="shared" si="10"/>
        <v>0.38</v>
      </c>
      <c r="G42" s="59">
        <f t="shared" si="10"/>
        <v>0.38</v>
      </c>
      <c r="H42" s="25" t="s">
        <v>149</v>
      </c>
    </row>
    <row r="43" ht="19.5" customHeight="1">
      <c r="A43" s="3" t="s">
        <v>128</v>
      </c>
      <c r="B43" s="60">
        <f>'Historical base'!E27</f>
        <v>0.3440485758</v>
      </c>
      <c r="C43" s="57">
        <v>0.35</v>
      </c>
      <c r="D43" s="57">
        <v>0.36</v>
      </c>
      <c r="E43" s="57">
        <v>0.37</v>
      </c>
      <c r="F43" s="57">
        <v>0.38</v>
      </c>
      <c r="G43" s="57">
        <v>0.38</v>
      </c>
      <c r="H43" s="10"/>
    </row>
    <row r="44" ht="19.5" customHeight="1">
      <c r="A44" s="3" t="s">
        <v>134</v>
      </c>
      <c r="B44" s="57">
        <v>0.36</v>
      </c>
      <c r="C44" s="57">
        <v>0.38</v>
      </c>
      <c r="D44" s="57">
        <v>0.4</v>
      </c>
      <c r="E44" s="57">
        <v>0.41</v>
      </c>
      <c r="F44" s="57">
        <v>0.42</v>
      </c>
      <c r="G44" s="57">
        <v>0.42</v>
      </c>
      <c r="H44" s="10"/>
    </row>
    <row r="45" ht="19.5" customHeight="1">
      <c r="A45" s="3" t="s">
        <v>135</v>
      </c>
      <c r="B45" s="57">
        <v>0.3</v>
      </c>
      <c r="C45" s="57">
        <v>0.29</v>
      </c>
      <c r="D45" s="57">
        <v>0.28</v>
      </c>
      <c r="E45" s="57">
        <v>0.28</v>
      </c>
      <c r="F45" s="57">
        <v>0.28</v>
      </c>
      <c r="G45" s="57">
        <v>0.28</v>
      </c>
      <c r="H45" s="10"/>
    </row>
    <row r="46" ht="19.5" customHeight="1">
      <c r="A46" s="3"/>
      <c r="B46" s="3"/>
      <c r="C46" s="3"/>
      <c r="D46" s="3"/>
      <c r="E46" s="3"/>
      <c r="F46" s="3"/>
      <c r="G46" s="3"/>
      <c r="H46" s="10"/>
    </row>
    <row r="47" ht="48.0" customHeight="1">
      <c r="A47" s="25" t="s">
        <v>150</v>
      </c>
      <c r="B47" s="59">
        <f t="shared" ref="B47:G47" si="11">INDEX(B48:B50,MATCH($B$3,$A48:$A50,0))</f>
        <v>0.15</v>
      </c>
      <c r="C47" s="59">
        <f t="shared" si="11"/>
        <v>0.15</v>
      </c>
      <c r="D47" s="59">
        <f t="shared" si="11"/>
        <v>0.12</v>
      </c>
      <c r="E47" s="59">
        <f t="shared" si="11"/>
        <v>0.1</v>
      </c>
      <c r="F47" s="59">
        <f t="shared" si="11"/>
        <v>0.08</v>
      </c>
      <c r="G47" s="59">
        <f t="shared" si="11"/>
        <v>0.05</v>
      </c>
      <c r="H47" s="25" t="s">
        <v>151</v>
      </c>
    </row>
    <row r="48" ht="19.5" customHeight="1">
      <c r="A48" s="3" t="s">
        <v>128</v>
      </c>
      <c r="B48" s="57">
        <v>0.15</v>
      </c>
      <c r="C48" s="57">
        <v>0.15</v>
      </c>
      <c r="D48" s="57">
        <v>0.12</v>
      </c>
      <c r="E48" s="57">
        <v>0.1</v>
      </c>
      <c r="F48" s="57">
        <v>0.08</v>
      </c>
      <c r="G48" s="57">
        <v>0.05</v>
      </c>
      <c r="H48" s="10"/>
    </row>
    <row r="49" ht="19.5" customHeight="1">
      <c r="A49" s="3" t="s">
        <v>134</v>
      </c>
      <c r="B49" s="57">
        <v>0.1</v>
      </c>
      <c r="C49" s="57">
        <v>0.1</v>
      </c>
      <c r="D49" s="57">
        <v>0.08</v>
      </c>
      <c r="E49" s="57">
        <v>0.05</v>
      </c>
      <c r="F49" s="57">
        <v>0.0</v>
      </c>
      <c r="G49" s="57">
        <v>0.0</v>
      </c>
      <c r="H49" s="10"/>
    </row>
    <row r="50" ht="19.5" customHeight="1">
      <c r="A50" s="3" t="s">
        <v>135</v>
      </c>
      <c r="B50" s="57">
        <v>0.25</v>
      </c>
      <c r="C50" s="57">
        <v>0.25</v>
      </c>
      <c r="D50" s="57">
        <v>0.2</v>
      </c>
      <c r="E50" s="57">
        <v>0.15</v>
      </c>
      <c r="F50" s="57">
        <v>0.1</v>
      </c>
      <c r="G50" s="57">
        <v>0.1</v>
      </c>
      <c r="H50" s="10"/>
    </row>
    <row r="51" ht="19.5" customHeight="1">
      <c r="A51" s="3"/>
      <c r="B51" s="3"/>
      <c r="C51" s="3"/>
      <c r="D51" s="3"/>
      <c r="E51" s="3"/>
      <c r="F51" s="3"/>
      <c r="G51" s="3"/>
      <c r="H51" s="10"/>
    </row>
    <row r="52" ht="48.0" customHeight="1">
      <c r="A52" s="61" t="s">
        <v>152</v>
      </c>
      <c r="B52" s="63">
        <f t="shared" ref="B52:G52" si="12">INDEX(B53:B55,MATCH($B$3,$A53:$A55,0))</f>
        <v>0.8</v>
      </c>
      <c r="C52" s="63">
        <f t="shared" si="12"/>
        <v>0.8</v>
      </c>
      <c r="D52" s="63">
        <f t="shared" si="12"/>
        <v>0.8</v>
      </c>
      <c r="E52" s="63">
        <f t="shared" si="12"/>
        <v>0.8</v>
      </c>
      <c r="F52" s="63">
        <f t="shared" si="12"/>
        <v>0.8</v>
      </c>
      <c r="G52" s="63">
        <f t="shared" si="12"/>
        <v>0.8</v>
      </c>
      <c r="H52" s="61" t="s">
        <v>153</v>
      </c>
    </row>
    <row r="53" ht="19.5" customHeight="1">
      <c r="A53" s="3" t="s">
        <v>128</v>
      </c>
      <c r="B53" s="64">
        <v>0.8</v>
      </c>
      <c r="C53" s="64">
        <v>0.8</v>
      </c>
      <c r="D53" s="64">
        <v>0.8</v>
      </c>
      <c r="E53" s="64">
        <v>0.8</v>
      </c>
      <c r="F53" s="64">
        <v>0.8</v>
      </c>
      <c r="G53" s="64">
        <v>0.8</v>
      </c>
      <c r="H53" s="10"/>
    </row>
    <row r="54" ht="19.5" customHeight="1">
      <c r="A54" s="3" t="s">
        <v>134</v>
      </c>
      <c r="B54" s="64">
        <v>0.65</v>
      </c>
      <c r="C54" s="64">
        <v>0.65</v>
      </c>
      <c r="D54" s="64">
        <v>0.65</v>
      </c>
      <c r="E54" s="64">
        <v>0.65</v>
      </c>
      <c r="F54" s="64">
        <v>0.65</v>
      </c>
      <c r="G54" s="64">
        <v>0.65</v>
      </c>
      <c r="H54" s="10"/>
    </row>
    <row r="55" ht="19.5" customHeight="1">
      <c r="A55" s="3" t="s">
        <v>135</v>
      </c>
      <c r="B55" s="64">
        <v>1.1</v>
      </c>
      <c r="C55" s="64">
        <v>1.1</v>
      </c>
      <c r="D55" s="64">
        <v>1.1</v>
      </c>
      <c r="E55" s="64">
        <v>1.1</v>
      </c>
      <c r="F55" s="64">
        <v>1.1</v>
      </c>
      <c r="G55" s="64">
        <v>1.1</v>
      </c>
      <c r="H55" s="10"/>
    </row>
    <row r="56" ht="19.5" customHeight="1">
      <c r="A56" s="3"/>
      <c r="B56" s="3"/>
      <c r="C56" s="3"/>
      <c r="D56" s="3"/>
      <c r="E56" s="3"/>
      <c r="F56" s="3"/>
      <c r="G56" s="3"/>
      <c r="H56" s="10"/>
    </row>
    <row r="57" ht="48.0" customHeight="1">
      <c r="A57" s="25" t="s">
        <v>154</v>
      </c>
      <c r="B57" s="59" t="str">
        <f>""</f>
        <v/>
      </c>
      <c r="C57" s="59">
        <f t="shared" ref="C57:G57" si="13">INDEX(C58:C60,MATCH($B$3,$A58:$A60,0))</f>
        <v>0.35</v>
      </c>
      <c r="D57" s="59">
        <f t="shared" si="13"/>
        <v>0.3</v>
      </c>
      <c r="E57" s="59">
        <f t="shared" si="13"/>
        <v>0.27</v>
      </c>
      <c r="F57" s="59">
        <f t="shared" si="13"/>
        <v>0.24</v>
      </c>
      <c r="G57" s="59">
        <f t="shared" si="13"/>
        <v>0.22</v>
      </c>
      <c r="H57" s="25" t="s">
        <v>155</v>
      </c>
    </row>
    <row r="58" ht="19.5" customHeight="1">
      <c r="A58" s="3" t="s">
        <v>128</v>
      </c>
      <c r="B58" s="29" t="s">
        <v>156</v>
      </c>
      <c r="C58" s="62">
        <v>0.35</v>
      </c>
      <c r="D58" s="62">
        <v>0.3</v>
      </c>
      <c r="E58" s="62">
        <v>0.27</v>
      </c>
      <c r="F58" s="62">
        <v>0.24</v>
      </c>
      <c r="G58" s="62">
        <v>0.22</v>
      </c>
      <c r="H58" s="10"/>
    </row>
    <row r="59" ht="19.5" customHeight="1">
      <c r="A59" s="3" t="s">
        <v>134</v>
      </c>
      <c r="B59" s="29" t="s">
        <v>156</v>
      </c>
      <c r="C59" s="57">
        <v>0.36</v>
      </c>
      <c r="D59" s="57">
        <v>0.32</v>
      </c>
      <c r="E59" s="57">
        <v>0.28</v>
      </c>
      <c r="F59" s="57">
        <v>0.25</v>
      </c>
      <c r="G59" s="57">
        <v>0.23</v>
      </c>
      <c r="H59" s="10"/>
    </row>
    <row r="60" ht="19.5" customHeight="1">
      <c r="A60" s="3" t="s">
        <v>135</v>
      </c>
      <c r="B60" s="29" t="s">
        <v>156</v>
      </c>
      <c r="C60" s="57">
        <v>0.38</v>
      </c>
      <c r="D60" s="57">
        <v>0.35</v>
      </c>
      <c r="E60" s="57">
        <v>0.32</v>
      </c>
      <c r="F60" s="57">
        <v>0.29</v>
      </c>
      <c r="G60" s="57">
        <v>0.27</v>
      </c>
      <c r="H60" s="10"/>
    </row>
    <row r="61" ht="19.5" customHeight="1">
      <c r="A61" s="3"/>
      <c r="B61" s="3"/>
      <c r="C61" s="3"/>
      <c r="D61" s="3"/>
      <c r="E61" s="3"/>
      <c r="F61" s="3"/>
      <c r="G61" s="3"/>
      <c r="H61" s="10"/>
    </row>
    <row r="62" ht="48.0" customHeight="1">
      <c r="A62" s="25" t="s">
        <v>157</v>
      </c>
      <c r="B62" s="59">
        <f t="shared" ref="B62:G62" si="14">INDEX(B63:B65,MATCH($B$3,$A63:$A65,0))</f>
        <v>0.6</v>
      </c>
      <c r="C62" s="59">
        <f t="shared" si="14"/>
        <v>0.6</v>
      </c>
      <c r="D62" s="59">
        <f t="shared" si="14"/>
        <v>0.6</v>
      </c>
      <c r="E62" s="59">
        <f t="shared" si="14"/>
        <v>0.6</v>
      </c>
      <c r="F62" s="59">
        <f t="shared" si="14"/>
        <v>0.6</v>
      </c>
      <c r="G62" s="59">
        <f t="shared" si="14"/>
        <v>0.6</v>
      </c>
      <c r="H62" s="65" t="s">
        <v>158</v>
      </c>
    </row>
    <row r="63" ht="19.5" customHeight="1">
      <c r="A63" s="3" t="s">
        <v>128</v>
      </c>
      <c r="B63" s="62">
        <v>0.6</v>
      </c>
      <c r="C63" s="62">
        <v>0.6</v>
      </c>
      <c r="D63" s="62">
        <v>0.6</v>
      </c>
      <c r="E63" s="62">
        <v>0.6</v>
      </c>
      <c r="F63" s="62">
        <v>0.6</v>
      </c>
      <c r="G63" s="62">
        <v>0.6</v>
      </c>
      <c r="H63" s="10"/>
    </row>
    <row r="64" ht="19.5" customHeight="1">
      <c r="A64" s="3" t="s">
        <v>134</v>
      </c>
      <c r="B64" s="57">
        <v>0.8</v>
      </c>
      <c r="C64" s="57">
        <v>0.8</v>
      </c>
      <c r="D64" s="57">
        <v>0.8</v>
      </c>
      <c r="E64" s="57">
        <v>0.8</v>
      </c>
      <c r="F64" s="57">
        <v>0.8</v>
      </c>
      <c r="G64" s="57">
        <v>0.8</v>
      </c>
      <c r="H64" s="10"/>
    </row>
    <row r="65" ht="19.5" customHeight="1">
      <c r="A65" s="3" t="s">
        <v>135</v>
      </c>
      <c r="B65" s="57">
        <v>0.4</v>
      </c>
      <c r="C65" s="57">
        <v>0.4</v>
      </c>
      <c r="D65" s="57">
        <v>0.4</v>
      </c>
      <c r="E65" s="57">
        <v>0.4</v>
      </c>
      <c r="F65" s="57">
        <v>0.4</v>
      </c>
      <c r="G65" s="57">
        <v>0.4</v>
      </c>
      <c r="H65" s="10"/>
    </row>
    <row r="66" ht="19.5" customHeight="1">
      <c r="A66" s="3"/>
      <c r="B66" s="3"/>
      <c r="C66" s="3"/>
      <c r="D66" s="3"/>
      <c r="E66" s="3"/>
      <c r="F66" s="3"/>
      <c r="G66" s="3"/>
      <c r="H66" s="10"/>
    </row>
    <row r="67" ht="48.0" customHeight="1">
      <c r="A67" s="25" t="s">
        <v>159</v>
      </c>
      <c r="B67" s="66">
        <f t="shared" ref="B67:G67" si="15">INDEX(B68:B70,MATCH($B$3,$A68:$A70,0))</f>
        <v>5</v>
      </c>
      <c r="C67" s="66">
        <f t="shared" si="15"/>
        <v>5</v>
      </c>
      <c r="D67" s="66">
        <f t="shared" si="15"/>
        <v>5</v>
      </c>
      <c r="E67" s="66">
        <f t="shared" si="15"/>
        <v>5</v>
      </c>
      <c r="F67" s="66">
        <f t="shared" si="15"/>
        <v>5</v>
      </c>
      <c r="G67" s="66">
        <f t="shared" si="15"/>
        <v>5</v>
      </c>
      <c r="H67" s="25" t="s">
        <v>160</v>
      </c>
    </row>
    <row r="68" ht="19.5" customHeight="1">
      <c r="A68" s="3" t="s">
        <v>128</v>
      </c>
      <c r="B68" s="67">
        <v>5.0</v>
      </c>
      <c r="C68" s="67">
        <v>5.0</v>
      </c>
      <c r="D68" s="67">
        <v>5.0</v>
      </c>
      <c r="E68" s="67">
        <v>5.0</v>
      </c>
      <c r="F68" s="67">
        <v>5.0</v>
      </c>
      <c r="G68" s="67">
        <v>5.0</v>
      </c>
      <c r="H68" s="10"/>
    </row>
    <row r="69" ht="19.5" customHeight="1">
      <c r="A69" s="3" t="s">
        <v>134</v>
      </c>
      <c r="B69" s="67">
        <v>6.0</v>
      </c>
      <c r="C69" s="67">
        <v>6.0</v>
      </c>
      <c r="D69" s="67">
        <v>6.0</v>
      </c>
      <c r="E69" s="67">
        <v>6.0</v>
      </c>
      <c r="F69" s="67">
        <v>6.0</v>
      </c>
      <c r="G69" s="67">
        <v>6.0</v>
      </c>
      <c r="H69" s="10"/>
    </row>
    <row r="70" ht="19.5" customHeight="1">
      <c r="A70" s="3" t="s">
        <v>135</v>
      </c>
      <c r="B70" s="67">
        <v>4.0</v>
      </c>
      <c r="C70" s="67">
        <v>4.0</v>
      </c>
      <c r="D70" s="67">
        <v>4.0</v>
      </c>
      <c r="E70" s="67">
        <v>4.0</v>
      </c>
      <c r="F70" s="67">
        <v>4.0</v>
      </c>
      <c r="G70" s="67">
        <v>4.0</v>
      </c>
      <c r="H70" s="10"/>
    </row>
    <row r="71" ht="19.5" customHeight="1">
      <c r="A71" s="3"/>
      <c r="B71" s="3"/>
      <c r="C71" s="3"/>
      <c r="D71" s="3"/>
      <c r="E71" s="3"/>
      <c r="F71" s="3"/>
      <c r="G71" s="3"/>
      <c r="H71" s="10"/>
    </row>
    <row r="72" ht="48.0" customHeight="1">
      <c r="A72" s="25" t="s">
        <v>161</v>
      </c>
      <c r="B72" s="59">
        <f t="shared" ref="B72:G72" si="16">INDEX(B73:B75,MATCH($B$3,$A73:$A75,0))</f>
        <v>0.6</v>
      </c>
      <c r="C72" s="59">
        <f t="shared" si="16"/>
        <v>0.6</v>
      </c>
      <c r="D72" s="59">
        <f t="shared" si="16"/>
        <v>0.6</v>
      </c>
      <c r="E72" s="59">
        <f t="shared" si="16"/>
        <v>0.6</v>
      </c>
      <c r="F72" s="59">
        <f t="shared" si="16"/>
        <v>0.6</v>
      </c>
      <c r="G72" s="59">
        <f t="shared" si="16"/>
        <v>0.6</v>
      </c>
      <c r="H72" s="25" t="s">
        <v>162</v>
      </c>
    </row>
    <row r="73" ht="19.5" customHeight="1">
      <c r="A73" s="3" t="s">
        <v>128</v>
      </c>
      <c r="B73" s="57">
        <v>0.6</v>
      </c>
      <c r="C73" s="57">
        <v>0.6</v>
      </c>
      <c r="D73" s="57">
        <v>0.6</v>
      </c>
      <c r="E73" s="57">
        <v>0.6</v>
      </c>
      <c r="F73" s="57">
        <v>0.6</v>
      </c>
      <c r="G73" s="57">
        <v>0.6</v>
      </c>
      <c r="H73" s="10"/>
    </row>
    <row r="74" ht="19.5" customHeight="1">
      <c r="A74" s="3" t="s">
        <v>134</v>
      </c>
      <c r="B74" s="57">
        <v>0.6</v>
      </c>
      <c r="C74" s="57">
        <v>0.6</v>
      </c>
      <c r="D74" s="57">
        <v>0.6</v>
      </c>
      <c r="E74" s="57">
        <v>0.6</v>
      </c>
      <c r="F74" s="57">
        <v>0.6</v>
      </c>
      <c r="G74" s="57">
        <v>0.6</v>
      </c>
      <c r="H74" s="10"/>
    </row>
    <row r="75" ht="19.5" customHeight="1">
      <c r="A75" s="3" t="s">
        <v>135</v>
      </c>
      <c r="B75" s="57">
        <v>0.6</v>
      </c>
      <c r="C75" s="57">
        <v>0.6</v>
      </c>
      <c r="D75" s="57">
        <v>0.6</v>
      </c>
      <c r="E75" s="57">
        <v>0.6</v>
      </c>
      <c r="F75" s="57">
        <v>0.6</v>
      </c>
      <c r="G75" s="57">
        <v>0.6</v>
      </c>
      <c r="H75" s="10"/>
    </row>
    <row r="76" ht="19.5" customHeight="1">
      <c r="A76" s="3"/>
      <c r="B76" s="3"/>
      <c r="C76" s="3"/>
      <c r="D76" s="3"/>
      <c r="E76" s="3"/>
      <c r="F76" s="3"/>
      <c r="G76" s="3"/>
      <c r="H76" s="10"/>
    </row>
    <row r="77" ht="48.0" customHeight="1">
      <c r="A77" s="25" t="s">
        <v>163</v>
      </c>
      <c r="B77" s="59">
        <f t="shared" ref="B77:G77" si="17">INDEX(B78:B80,MATCH($B$3,$A78:$A80,0))</f>
        <v>0.18</v>
      </c>
      <c r="C77" s="59">
        <f t="shared" si="17"/>
        <v>0.18</v>
      </c>
      <c r="D77" s="59">
        <f t="shared" si="17"/>
        <v>0.18</v>
      </c>
      <c r="E77" s="59">
        <f t="shared" si="17"/>
        <v>0.18</v>
      </c>
      <c r="F77" s="59">
        <f t="shared" si="17"/>
        <v>0.18</v>
      </c>
      <c r="G77" s="59">
        <f t="shared" si="17"/>
        <v>0.18</v>
      </c>
      <c r="H77" s="65" t="s">
        <v>164</v>
      </c>
    </row>
    <row r="78" ht="19.5" customHeight="1">
      <c r="A78" s="3" t="s">
        <v>128</v>
      </c>
      <c r="B78" s="62">
        <v>0.18</v>
      </c>
      <c r="C78" s="62">
        <v>0.18</v>
      </c>
      <c r="D78" s="62">
        <v>0.18</v>
      </c>
      <c r="E78" s="62">
        <v>0.18</v>
      </c>
      <c r="F78" s="62">
        <v>0.18</v>
      </c>
      <c r="G78" s="62">
        <v>0.18</v>
      </c>
      <c r="H78" s="10"/>
    </row>
    <row r="79" ht="19.5" customHeight="1">
      <c r="A79" s="3" t="s">
        <v>134</v>
      </c>
      <c r="B79" s="62">
        <v>0.18</v>
      </c>
      <c r="C79" s="62">
        <v>0.18</v>
      </c>
      <c r="D79" s="62">
        <v>0.18</v>
      </c>
      <c r="E79" s="62">
        <v>0.18</v>
      </c>
      <c r="F79" s="62">
        <v>0.18</v>
      </c>
      <c r="G79" s="62">
        <v>0.18</v>
      </c>
      <c r="H79" s="10"/>
    </row>
    <row r="80" ht="19.5" customHeight="1">
      <c r="A80" s="3" t="s">
        <v>135</v>
      </c>
      <c r="B80" s="62">
        <v>0.18</v>
      </c>
      <c r="C80" s="62">
        <v>0.18</v>
      </c>
      <c r="D80" s="62">
        <v>0.18</v>
      </c>
      <c r="E80" s="62">
        <v>0.18</v>
      </c>
      <c r="F80" s="62">
        <v>0.18</v>
      </c>
      <c r="G80" s="62">
        <v>0.18</v>
      </c>
      <c r="H80" s="10"/>
    </row>
    <row r="81" ht="19.5" customHeight="1">
      <c r="A81" s="3"/>
      <c r="B81" s="3"/>
      <c r="C81" s="3"/>
      <c r="D81" s="3"/>
      <c r="E81" s="3"/>
      <c r="F81" s="3"/>
      <c r="G81" s="3"/>
      <c r="H81" s="10"/>
    </row>
    <row r="82" ht="48.0" customHeight="1">
      <c r="A82" s="61" t="s">
        <v>165</v>
      </c>
      <c r="B82" s="59"/>
      <c r="C82" s="59"/>
      <c r="D82" s="59"/>
      <c r="E82" s="59"/>
      <c r="F82" s="59"/>
      <c r="G82" s="59"/>
      <c r="H82" s="61" t="s">
        <v>166</v>
      </c>
    </row>
    <row r="83" ht="19.5" customHeight="1">
      <c r="A83" s="3"/>
      <c r="B83" s="60"/>
      <c r="C83" s="57"/>
      <c r="D83" s="57"/>
      <c r="E83" s="57"/>
      <c r="F83" s="57"/>
      <c r="G83" s="57"/>
      <c r="H83" s="10"/>
    </row>
    <row r="84" ht="19.5" customHeight="1">
      <c r="A84" s="3"/>
      <c r="B84" s="60"/>
      <c r="C84" s="57"/>
      <c r="D84" s="57"/>
      <c r="E84" s="57"/>
      <c r="F84" s="57"/>
      <c r="G84" s="57"/>
      <c r="H84" s="10"/>
    </row>
    <row r="85" ht="19.5" customHeight="1">
      <c r="A85" s="3"/>
      <c r="B85" s="60"/>
      <c r="C85" s="57"/>
      <c r="D85" s="57"/>
      <c r="E85" s="57"/>
      <c r="F85" s="57"/>
      <c r="G85" s="57"/>
      <c r="H85" s="10"/>
    </row>
    <row r="86" ht="19.5" customHeight="1">
      <c r="A86" s="3"/>
      <c r="B86" s="3"/>
      <c r="C86" s="3"/>
      <c r="D86" s="3"/>
      <c r="E86" s="3"/>
      <c r="F86" s="3"/>
      <c r="G86" s="3"/>
      <c r="H86" s="3"/>
    </row>
    <row r="87" ht="19.5" customHeight="1">
      <c r="A87" s="3"/>
      <c r="B87" s="3"/>
      <c r="C87" s="3"/>
      <c r="D87" s="3"/>
      <c r="E87" s="3"/>
      <c r="F87" s="3"/>
      <c r="G87" s="3"/>
      <c r="H87" s="3"/>
    </row>
    <row r="88" ht="32.25" customHeight="1">
      <c r="A88" s="10" t="s">
        <v>167</v>
      </c>
      <c r="B88" s="10" t="s">
        <v>168</v>
      </c>
      <c r="C88" s="10" t="s">
        <v>6</v>
      </c>
    </row>
    <row r="89" ht="32.25" customHeight="1">
      <c r="A89" s="10" t="s">
        <v>169</v>
      </c>
      <c r="B89" s="68">
        <v>0.5</v>
      </c>
      <c r="C89" s="10" t="s">
        <v>170</v>
      </c>
    </row>
    <row r="90" ht="32.25" customHeight="1">
      <c r="A90" s="10" t="s">
        <v>171</v>
      </c>
      <c r="B90" s="69">
        <v>3.0</v>
      </c>
      <c r="C90" s="10" t="s">
        <v>172</v>
      </c>
    </row>
    <row r="91" ht="32.25" customHeight="1">
      <c r="A91" s="10" t="s">
        <v>173</v>
      </c>
      <c r="B91" s="69">
        <v>15.0</v>
      </c>
      <c r="C91" s="10" t="s">
        <v>174</v>
      </c>
    </row>
    <row r="92" ht="32.25" customHeight="1">
      <c r="A92" s="10" t="s">
        <v>175</v>
      </c>
      <c r="B92" s="69">
        <v>20.0</v>
      </c>
      <c r="C92" s="10" t="s">
        <v>176</v>
      </c>
    </row>
    <row r="93" ht="32.25" customHeight="1">
      <c r="A93" s="10" t="s">
        <v>177</v>
      </c>
      <c r="B93" s="70">
        <f>AVERAGE('Sources and basis'!B51:B52)-'Historical base'!E35</f>
        <v>119402</v>
      </c>
      <c r="C93" s="10" t="s">
        <v>178</v>
      </c>
    </row>
    <row r="94" ht="32.25" customHeight="1">
      <c r="A94" s="10" t="s">
        <v>179</v>
      </c>
      <c r="B94" s="70">
        <f>MIN('Sources and basis'!B56,'Sources and basis'!I47)</f>
        <v>1055</v>
      </c>
      <c r="C94" s="10" t="s">
        <v>180</v>
      </c>
    </row>
    <row r="95" ht="32.25" customHeight="1">
      <c r="A95" s="10" t="s">
        <v>181</v>
      </c>
      <c r="B95" s="71">
        <f>('Historical base'!E39+'Sources and basis'!D47)/'Historical base'!E16</f>
        <v>0.06152151577</v>
      </c>
      <c r="C95" s="10" t="s">
        <v>182</v>
      </c>
    </row>
    <row r="96" ht="32.25" customHeight="1">
      <c r="A96" s="10" t="s">
        <v>183</v>
      </c>
      <c r="B96" s="10" t="s">
        <v>184</v>
      </c>
      <c r="C96" s="7" t="s">
        <v>185</v>
      </c>
    </row>
    <row r="97" ht="19.5" customHeight="1">
      <c r="A97" s="3"/>
      <c r="B97" s="3"/>
      <c r="C97" s="3"/>
      <c r="D97" s="3"/>
      <c r="E97" s="3"/>
      <c r="F97" s="3"/>
      <c r="G97" s="3"/>
      <c r="H97" s="3"/>
    </row>
    <row r="98" ht="34.5" customHeight="1">
      <c r="A98" s="55" t="s">
        <v>186</v>
      </c>
    </row>
    <row r="99" ht="34.5" customHeight="1">
      <c r="A99" s="55" t="s">
        <v>187</v>
      </c>
    </row>
    <row r="103" ht="49.5" customHeight="1">
      <c r="A103" s="72" t="s">
        <v>188</v>
      </c>
      <c r="B103" s="73">
        <f t="shared" ref="B103:G103" si="18">INDEX(B104:B106,MATCH($B$3,$A104:$A106,0))</f>
        <v>56.6288414</v>
      </c>
      <c r="C103" s="73">
        <f t="shared" si="18"/>
        <v>56.6288414</v>
      </c>
      <c r="D103" s="73">
        <f t="shared" si="18"/>
        <v>56.6288414</v>
      </c>
      <c r="E103" s="73">
        <f t="shared" si="18"/>
        <v>56.6288414</v>
      </c>
      <c r="F103" s="73">
        <f t="shared" si="18"/>
        <v>56.6288414</v>
      </c>
      <c r="G103" s="73">
        <f t="shared" si="18"/>
        <v>56.6288414</v>
      </c>
      <c r="H103" s="72" t="s">
        <v>189</v>
      </c>
    </row>
    <row r="104" ht="20.25" customHeight="1">
      <c r="A104" s="3" t="s">
        <v>128</v>
      </c>
      <c r="B104" s="74">
        <f>'Working capital'!$C$36</f>
        <v>56.6288414</v>
      </c>
      <c r="C104" s="74">
        <f>'Working capital'!$C$36</f>
        <v>56.6288414</v>
      </c>
      <c r="D104" s="74">
        <f>'Working capital'!$C$36</f>
        <v>56.6288414</v>
      </c>
      <c r="E104" s="74">
        <f>'Working capital'!$C$36</f>
        <v>56.6288414</v>
      </c>
      <c r="F104" s="75">
        <f>'Working capital'!$C$36</f>
        <v>56.6288414</v>
      </c>
      <c r="G104" s="74">
        <f>'Working capital'!$C$36</f>
        <v>56.6288414</v>
      </c>
      <c r="H104" s="3"/>
    </row>
    <row r="105" ht="20.25" customHeight="1">
      <c r="A105" s="3" t="s">
        <v>134</v>
      </c>
      <c r="B105" s="74">
        <f>'Working capital'!$C$36</f>
        <v>56.6288414</v>
      </c>
      <c r="C105" s="74">
        <f>'Working capital'!$C$36</f>
        <v>56.6288414</v>
      </c>
      <c r="D105" s="74">
        <f>'Working capital'!$C$36</f>
        <v>56.6288414</v>
      </c>
      <c r="E105" s="74">
        <f>'Working capital'!$C$36</f>
        <v>56.6288414</v>
      </c>
      <c r="F105" s="74">
        <f>'Working capital'!$C$36</f>
        <v>56.6288414</v>
      </c>
      <c r="G105" s="74">
        <f>'Working capital'!$C$36</f>
        <v>56.6288414</v>
      </c>
      <c r="H105" s="3"/>
    </row>
    <row r="106" ht="20.25" customHeight="1">
      <c r="A106" s="3" t="s">
        <v>135</v>
      </c>
      <c r="B106" s="74">
        <f>'Working capital'!$C$36</f>
        <v>56.6288414</v>
      </c>
      <c r="C106" s="74">
        <f>'Working capital'!$C$36</f>
        <v>56.6288414</v>
      </c>
      <c r="D106" s="74">
        <f>'Working capital'!$C$36</f>
        <v>56.6288414</v>
      </c>
      <c r="E106" s="74">
        <f>'Working capital'!$C$36</f>
        <v>56.6288414</v>
      </c>
      <c r="F106" s="74">
        <f>'Working capital'!$C$36</f>
        <v>56.6288414</v>
      </c>
      <c r="G106" s="74">
        <f>'Working capital'!$C$36</f>
        <v>56.6288414</v>
      </c>
      <c r="H106" s="3"/>
    </row>
    <row r="107" ht="20.25" customHeight="1">
      <c r="A107" s="3"/>
      <c r="B107" s="3"/>
      <c r="C107" s="3"/>
      <c r="D107" s="3"/>
      <c r="E107" s="3"/>
      <c r="F107" s="3"/>
      <c r="G107" s="3"/>
      <c r="H107" s="3"/>
    </row>
    <row r="108" ht="49.5" customHeight="1">
      <c r="A108" s="72" t="s">
        <v>190</v>
      </c>
      <c r="B108" s="76">
        <f t="shared" ref="B108:G108" si="19">INDEX(B109:B111,MATCH($B$3,$A109:$A111,0))</f>
        <v>0.02240807776</v>
      </c>
      <c r="C108" s="76">
        <f t="shared" si="19"/>
        <v>0.01423132542</v>
      </c>
      <c r="D108" s="76">
        <f t="shared" si="19"/>
        <v>0.006054573077</v>
      </c>
      <c r="E108" s="76">
        <f t="shared" si="19"/>
        <v>0.006054573077</v>
      </c>
      <c r="F108" s="76">
        <f t="shared" si="19"/>
        <v>0.006054573077</v>
      </c>
      <c r="G108" s="76">
        <f t="shared" si="19"/>
        <v>0.006054573077</v>
      </c>
      <c r="H108" s="77" t="s">
        <v>191</v>
      </c>
    </row>
    <row r="109" ht="20.25" customHeight="1">
      <c r="A109" s="3" t="s">
        <v>128</v>
      </c>
      <c r="B109" s="29">
        <f>'Working capital'!$C$37</f>
        <v>0.02240807776</v>
      </c>
      <c r="C109" s="29">
        <f>AVERAGE('Working capital'!$B$37:$C$37)</f>
        <v>0.01423132542</v>
      </c>
      <c r="D109" s="29">
        <f>'Working capital'!$B$37</f>
        <v>0.006054573077</v>
      </c>
      <c r="E109" s="29">
        <f>'Working capital'!$B$37</f>
        <v>0.006054573077</v>
      </c>
      <c r="F109" s="29">
        <f>'Working capital'!$B$37</f>
        <v>0.006054573077</v>
      </c>
      <c r="G109" s="29">
        <f>'Working capital'!$B$37</f>
        <v>0.006054573077</v>
      </c>
      <c r="H109" s="3"/>
    </row>
    <row r="110" ht="20.25" customHeight="1">
      <c r="A110" s="3" t="s">
        <v>134</v>
      </c>
      <c r="B110" s="29">
        <f>'Working capital'!$C$37</f>
        <v>0.02240807776</v>
      </c>
      <c r="C110" s="29">
        <f>'Working capital'!$B$37</f>
        <v>0.006054573077</v>
      </c>
      <c r="D110" s="29">
        <f>'Working capital'!$B$37</f>
        <v>0.006054573077</v>
      </c>
      <c r="E110" s="29">
        <f>'Working capital'!$B$37</f>
        <v>0.006054573077</v>
      </c>
      <c r="F110" s="29">
        <f>'Working capital'!$B$37</f>
        <v>0.006054573077</v>
      </c>
      <c r="G110" s="29">
        <f>'Working capital'!$B$37</f>
        <v>0.006054573077</v>
      </c>
      <c r="H110" s="3"/>
    </row>
    <row r="111" ht="20.25" customHeight="1">
      <c r="A111" s="3" t="s">
        <v>135</v>
      </c>
      <c r="B111" s="29">
        <f>'Working capital'!$C$37</f>
        <v>0.02240807776</v>
      </c>
      <c r="C111" s="29">
        <f>'Working capital'!$C$37</f>
        <v>0.02240807776</v>
      </c>
      <c r="D111" s="29">
        <f>AVERAGE('Working capital'!$B$37:$C$37)</f>
        <v>0.01423132542</v>
      </c>
      <c r="E111" s="29">
        <f>'Working capital'!$B$37</f>
        <v>0.006054573077</v>
      </c>
      <c r="F111" s="29">
        <f>'Working capital'!$B$37</f>
        <v>0.006054573077</v>
      </c>
      <c r="G111" s="29">
        <f>'Working capital'!$B$37</f>
        <v>0.006054573077</v>
      </c>
      <c r="H111" s="3"/>
    </row>
    <row r="112" ht="20.25" customHeight="1">
      <c r="A112" s="3"/>
      <c r="B112" s="3"/>
      <c r="C112" s="3"/>
      <c r="D112" s="3"/>
      <c r="E112" s="3"/>
      <c r="F112" s="3"/>
      <c r="G112" s="3"/>
      <c r="H112" s="3"/>
    </row>
    <row r="113" ht="49.5" customHeight="1">
      <c r="A113" s="72" t="s">
        <v>192</v>
      </c>
      <c r="B113" s="76">
        <f t="shared" ref="B113:G113" si="20">INDEX(B114:B116,MATCH($B$3,$A114:$A116,0))</f>
        <v>0.03315794432</v>
      </c>
      <c r="C113" s="76">
        <f t="shared" si="20"/>
        <v>0.03315794432</v>
      </c>
      <c r="D113" s="76">
        <f t="shared" si="20"/>
        <v>0.03315794432</v>
      </c>
      <c r="E113" s="76">
        <f t="shared" si="20"/>
        <v>0.03315794432</v>
      </c>
      <c r="F113" s="76">
        <f t="shared" si="20"/>
        <v>0.03315794432</v>
      </c>
      <c r="G113" s="76">
        <f t="shared" si="20"/>
        <v>0.03315794432</v>
      </c>
      <c r="H113" s="72" t="s">
        <v>193</v>
      </c>
    </row>
    <row r="114" ht="20.25" customHeight="1">
      <c r="A114" s="3" t="s">
        <v>128</v>
      </c>
      <c r="B114" s="29">
        <f>'Working capital'!$C$38</f>
        <v>0.03315794432</v>
      </c>
      <c r="C114" s="29">
        <f>'Working capital'!$C$38</f>
        <v>0.03315794432</v>
      </c>
      <c r="D114" s="29">
        <f>'Working capital'!$C$38</f>
        <v>0.03315794432</v>
      </c>
      <c r="E114" s="29">
        <f>'Working capital'!$C$38</f>
        <v>0.03315794432</v>
      </c>
      <c r="F114" s="29">
        <f>'Working capital'!$C$38</f>
        <v>0.03315794432</v>
      </c>
      <c r="G114" s="29">
        <f>'Working capital'!$C$38</f>
        <v>0.03315794432</v>
      </c>
      <c r="H114" s="3"/>
    </row>
    <row r="115" ht="20.25" customHeight="1">
      <c r="A115" s="3" t="s">
        <v>134</v>
      </c>
      <c r="B115" s="29">
        <f>'Working capital'!$C$38</f>
        <v>0.03315794432</v>
      </c>
      <c r="C115" s="29">
        <f>'Working capital'!$C$38</f>
        <v>0.03315794432</v>
      </c>
      <c r="D115" s="29">
        <f>'Working capital'!$C$38</f>
        <v>0.03315794432</v>
      </c>
      <c r="E115" s="29">
        <f>'Working capital'!$C$38</f>
        <v>0.03315794432</v>
      </c>
      <c r="F115" s="29">
        <f>'Working capital'!$C$38</f>
        <v>0.03315794432</v>
      </c>
      <c r="G115" s="29">
        <f>'Working capital'!$C$38</f>
        <v>0.03315794432</v>
      </c>
      <c r="H115" s="3"/>
    </row>
    <row r="116" ht="20.25" customHeight="1">
      <c r="A116" s="3" t="s">
        <v>135</v>
      </c>
      <c r="B116" s="29">
        <f>'Working capital'!$C$38</f>
        <v>0.03315794432</v>
      </c>
      <c r="C116" s="29">
        <f>'Working capital'!$C$38</f>
        <v>0.03315794432</v>
      </c>
      <c r="D116" s="29">
        <f>'Working capital'!$C$38</f>
        <v>0.03315794432</v>
      </c>
      <c r="E116" s="29">
        <f>'Working capital'!$C$38</f>
        <v>0.03315794432</v>
      </c>
      <c r="F116" s="29">
        <f>'Working capital'!$C$38</f>
        <v>0.03315794432</v>
      </c>
      <c r="G116" s="29">
        <f>'Working capital'!$C$38</f>
        <v>0.03315794432</v>
      </c>
      <c r="H116" s="3"/>
    </row>
    <row r="117" ht="20.25" customHeight="1">
      <c r="A117" s="3"/>
      <c r="B117" s="3"/>
      <c r="C117" s="3"/>
      <c r="D117" s="3"/>
      <c r="E117" s="3"/>
      <c r="F117" s="3"/>
      <c r="G117" s="3"/>
      <c r="H117" s="3"/>
    </row>
    <row r="118" ht="49.5" customHeight="1">
      <c r="A118" s="72" t="s">
        <v>194</v>
      </c>
      <c r="B118" s="76">
        <f t="shared" ref="B118:G118" si="21">INDEX(B119:B121,MATCH($B$3,$A119:$A121,0))</f>
        <v>0.01646458802</v>
      </c>
      <c r="C118" s="76">
        <f t="shared" si="21"/>
        <v>0.01646458802</v>
      </c>
      <c r="D118" s="76">
        <f t="shared" si="21"/>
        <v>0.01646458802</v>
      </c>
      <c r="E118" s="76">
        <f t="shared" si="21"/>
        <v>0.01646458802</v>
      </c>
      <c r="F118" s="76">
        <f t="shared" si="21"/>
        <v>0.01646458802</v>
      </c>
      <c r="G118" s="76">
        <f t="shared" si="21"/>
        <v>0.01646458802</v>
      </c>
      <c r="H118" s="72" t="s">
        <v>193</v>
      </c>
    </row>
    <row r="119" ht="20.25" customHeight="1">
      <c r="A119" s="3" t="s">
        <v>128</v>
      </c>
      <c r="B119" s="29">
        <f>'Working capital'!$C$39</f>
        <v>0.01646458802</v>
      </c>
      <c r="C119" s="29">
        <f>'Working capital'!$C$39</f>
        <v>0.01646458802</v>
      </c>
      <c r="D119" s="29">
        <f>'Working capital'!$C$39</f>
        <v>0.01646458802</v>
      </c>
      <c r="E119" s="29">
        <f>'Working capital'!$C$39</f>
        <v>0.01646458802</v>
      </c>
      <c r="F119" s="29">
        <f>'Working capital'!$C$39</f>
        <v>0.01646458802</v>
      </c>
      <c r="G119" s="29">
        <f>'Working capital'!$C$39</f>
        <v>0.01646458802</v>
      </c>
      <c r="H119" s="3"/>
    </row>
    <row r="120" ht="20.25" customHeight="1">
      <c r="A120" s="3" t="s">
        <v>134</v>
      </c>
      <c r="B120" s="29">
        <f>'Working capital'!$C$39</f>
        <v>0.01646458802</v>
      </c>
      <c r="C120" s="29">
        <f>'Working capital'!$C$39</f>
        <v>0.01646458802</v>
      </c>
      <c r="D120" s="29">
        <f>'Working capital'!$C$39</f>
        <v>0.01646458802</v>
      </c>
      <c r="E120" s="29">
        <f>'Working capital'!$C$39</f>
        <v>0.01646458802</v>
      </c>
      <c r="F120" s="29">
        <f>'Working capital'!$C$39</f>
        <v>0.01646458802</v>
      </c>
      <c r="G120" s="29">
        <f>'Working capital'!$C$39</f>
        <v>0.01646458802</v>
      </c>
      <c r="H120" s="3"/>
    </row>
    <row r="121" ht="20.25" customHeight="1">
      <c r="A121" s="3" t="s">
        <v>135</v>
      </c>
      <c r="B121" s="29">
        <f>'Working capital'!$C$39</f>
        <v>0.01646458802</v>
      </c>
      <c r="C121" s="29">
        <f>'Working capital'!$C$39</f>
        <v>0.01646458802</v>
      </c>
      <c r="D121" s="29">
        <f>'Working capital'!$C$39</f>
        <v>0.01646458802</v>
      </c>
      <c r="E121" s="29">
        <f>'Working capital'!$C$39</f>
        <v>0.01646458802</v>
      </c>
      <c r="F121" s="29">
        <f>'Working capital'!$C$39</f>
        <v>0.01646458802</v>
      </c>
      <c r="G121" s="29">
        <f>'Working capital'!$C$39</f>
        <v>0.01646458802</v>
      </c>
      <c r="H121" s="3"/>
    </row>
    <row r="122" ht="20.25" customHeight="1">
      <c r="A122" s="3"/>
      <c r="B122" s="3"/>
      <c r="C122" s="3"/>
      <c r="D122" s="3"/>
      <c r="E122" s="3"/>
      <c r="F122" s="3"/>
      <c r="G122" s="3"/>
      <c r="H122" s="3"/>
    </row>
    <row r="123" ht="49.5" customHeight="1">
      <c r="A123" s="72" t="s">
        <v>195</v>
      </c>
      <c r="B123" s="76">
        <f t="shared" ref="B123:G123" si="22">INDEX(B124:B126,MATCH($B$3,$A124:$A126,0))</f>
        <v>0.03383527786</v>
      </c>
      <c r="C123" s="76">
        <f t="shared" si="22"/>
        <v>0.03383527786</v>
      </c>
      <c r="D123" s="76">
        <f t="shared" si="22"/>
        <v>0.03383527786</v>
      </c>
      <c r="E123" s="76">
        <f t="shared" si="22"/>
        <v>0.03383527786</v>
      </c>
      <c r="F123" s="76">
        <f t="shared" si="22"/>
        <v>0.03383527786</v>
      </c>
      <c r="G123" s="76">
        <f t="shared" si="22"/>
        <v>0.03383527786</v>
      </c>
      <c r="H123" s="72" t="s">
        <v>193</v>
      </c>
    </row>
    <row r="124" ht="20.25" customHeight="1">
      <c r="A124" s="3" t="s">
        <v>128</v>
      </c>
      <c r="B124" s="29">
        <f>'Working capital'!$C$40</f>
        <v>0.03383527786</v>
      </c>
      <c r="C124" s="29">
        <f>'Working capital'!$C$40</f>
        <v>0.03383527786</v>
      </c>
      <c r="D124" s="29">
        <f>'Working capital'!$C$40</f>
        <v>0.03383527786</v>
      </c>
      <c r="E124" s="29">
        <f>'Working capital'!$C$40</f>
        <v>0.03383527786</v>
      </c>
      <c r="F124" s="29">
        <f>'Working capital'!$C$40</f>
        <v>0.03383527786</v>
      </c>
      <c r="G124" s="29">
        <f>'Working capital'!$C$40</f>
        <v>0.03383527786</v>
      </c>
      <c r="H124" s="3"/>
    </row>
    <row r="125" ht="20.25" customHeight="1">
      <c r="A125" s="3" t="s">
        <v>134</v>
      </c>
      <c r="B125" s="29">
        <f>'Working capital'!$C$40</f>
        <v>0.03383527786</v>
      </c>
      <c r="C125" s="29">
        <f>'Working capital'!$C$40</f>
        <v>0.03383527786</v>
      </c>
      <c r="D125" s="29">
        <f>'Working capital'!$C$40</f>
        <v>0.03383527786</v>
      </c>
      <c r="E125" s="29">
        <f>'Working capital'!$C$40</f>
        <v>0.03383527786</v>
      </c>
      <c r="F125" s="29">
        <f>'Working capital'!$C$40</f>
        <v>0.03383527786</v>
      </c>
      <c r="G125" s="29">
        <f>'Working capital'!$C$40</f>
        <v>0.03383527786</v>
      </c>
      <c r="H125" s="3"/>
    </row>
    <row r="126" ht="20.25" customHeight="1">
      <c r="A126" s="3" t="s">
        <v>135</v>
      </c>
      <c r="B126" s="29">
        <f>'Working capital'!$C$40</f>
        <v>0.03383527786</v>
      </c>
      <c r="C126" s="29">
        <f>'Working capital'!$C$40</f>
        <v>0.03383527786</v>
      </c>
      <c r="D126" s="29">
        <f>'Working capital'!$C$40</f>
        <v>0.03383527786</v>
      </c>
      <c r="E126" s="29">
        <f>'Working capital'!$C$40</f>
        <v>0.03383527786</v>
      </c>
      <c r="F126" s="29">
        <f>'Working capital'!$C$40</f>
        <v>0.03383527786</v>
      </c>
      <c r="G126" s="29">
        <f>'Working capital'!$C$40</f>
        <v>0.03383527786</v>
      </c>
      <c r="H126" s="3"/>
    </row>
    <row r="127" ht="20.25" customHeight="1">
      <c r="A127" s="3"/>
      <c r="B127" s="3"/>
      <c r="C127" s="3"/>
      <c r="D127" s="3"/>
      <c r="E127" s="3"/>
      <c r="F127" s="3"/>
      <c r="G127" s="3"/>
      <c r="H127" s="3"/>
    </row>
    <row r="128" ht="49.5" customHeight="1">
      <c r="A128" s="72" t="s">
        <v>196</v>
      </c>
      <c r="B128" s="76">
        <f t="shared" ref="B128:G128" si="23">INDEX(B129:B131,MATCH($B$3,$A129:$A131,0))</f>
        <v>0.02377171617</v>
      </c>
      <c r="C128" s="76">
        <f t="shared" si="23"/>
        <v>0.02377171617</v>
      </c>
      <c r="D128" s="76">
        <f t="shared" si="23"/>
        <v>0.02377171617</v>
      </c>
      <c r="E128" s="76">
        <f t="shared" si="23"/>
        <v>0.02377171617</v>
      </c>
      <c r="F128" s="76">
        <f t="shared" si="23"/>
        <v>0.02377171617</v>
      </c>
      <c r="G128" s="76">
        <f t="shared" si="23"/>
        <v>0.02377171617</v>
      </c>
      <c r="H128" s="72" t="s">
        <v>193</v>
      </c>
    </row>
    <row r="129" ht="20.25" customHeight="1">
      <c r="A129" s="3" t="s">
        <v>128</v>
      </c>
      <c r="B129" s="29">
        <f>'Working capital'!$C$41</f>
        <v>0.02377171617</v>
      </c>
      <c r="C129" s="29">
        <f>'Working capital'!$C$41</f>
        <v>0.02377171617</v>
      </c>
      <c r="D129" s="29">
        <f>'Working capital'!$C$41</f>
        <v>0.02377171617</v>
      </c>
      <c r="E129" s="29">
        <f>'Working capital'!$C$41</f>
        <v>0.02377171617</v>
      </c>
      <c r="F129" s="29">
        <f>'Working capital'!$C$41</f>
        <v>0.02377171617</v>
      </c>
      <c r="G129" s="29">
        <f>'Working capital'!$C$41</f>
        <v>0.02377171617</v>
      </c>
      <c r="H129" s="3"/>
    </row>
    <row r="130" ht="20.25" customHeight="1">
      <c r="A130" s="3" t="s">
        <v>134</v>
      </c>
      <c r="B130" s="29">
        <f>'Working capital'!$C$41</f>
        <v>0.02377171617</v>
      </c>
      <c r="C130" s="29">
        <f>'Working capital'!$C$41</f>
        <v>0.02377171617</v>
      </c>
      <c r="D130" s="29">
        <f>'Working capital'!$C$41</f>
        <v>0.02377171617</v>
      </c>
      <c r="E130" s="29">
        <f>'Working capital'!$C$41</f>
        <v>0.02377171617</v>
      </c>
      <c r="F130" s="29">
        <f>'Working capital'!$C$41</f>
        <v>0.02377171617</v>
      </c>
      <c r="G130" s="29">
        <f>'Working capital'!$C$41</f>
        <v>0.02377171617</v>
      </c>
      <c r="H130" s="3"/>
    </row>
    <row r="131" ht="20.25" customHeight="1">
      <c r="A131" s="3" t="s">
        <v>135</v>
      </c>
      <c r="B131" s="29">
        <f>'Working capital'!$C$41</f>
        <v>0.02377171617</v>
      </c>
      <c r="C131" s="29">
        <f>'Working capital'!$C$41</f>
        <v>0.02377171617</v>
      </c>
      <c r="D131" s="29">
        <f>'Working capital'!$C$41</f>
        <v>0.02377171617</v>
      </c>
      <c r="E131" s="29">
        <f>'Working capital'!$C$41</f>
        <v>0.02377171617</v>
      </c>
      <c r="F131" s="29">
        <f>'Working capital'!$C$41</f>
        <v>0.02377171617</v>
      </c>
      <c r="G131" s="29">
        <f>'Working capital'!$C$41</f>
        <v>0.02377171617</v>
      </c>
      <c r="H131" s="3"/>
    </row>
    <row r="132" ht="20.25" customHeight="1">
      <c r="A132" s="3"/>
      <c r="B132" s="3"/>
      <c r="C132" s="3"/>
      <c r="D132" s="3"/>
      <c r="E132" s="3"/>
      <c r="F132" s="3"/>
      <c r="G132" s="3"/>
      <c r="H132" s="3"/>
    </row>
    <row r="133" ht="49.5" customHeight="1">
      <c r="A133" s="72" t="s">
        <v>197</v>
      </c>
      <c r="B133" s="76">
        <f t="shared" ref="B133:G133" si="24">INDEX(B134:B136,MATCH($B$3,$A134:$A136,0))</f>
        <v>0.01604517949</v>
      </c>
      <c r="C133" s="76">
        <f t="shared" si="24"/>
        <v>0.01604517949</v>
      </c>
      <c r="D133" s="76">
        <f t="shared" si="24"/>
        <v>0.01604517949</v>
      </c>
      <c r="E133" s="76">
        <f t="shared" si="24"/>
        <v>0.01604517949</v>
      </c>
      <c r="F133" s="76">
        <f t="shared" si="24"/>
        <v>0.01604517949</v>
      </c>
      <c r="G133" s="76">
        <f t="shared" si="24"/>
        <v>0.01604517949</v>
      </c>
      <c r="H133" s="72" t="s">
        <v>193</v>
      </c>
    </row>
    <row r="134" ht="20.25" customHeight="1">
      <c r="A134" s="3" t="s">
        <v>128</v>
      </c>
      <c r="B134" s="29">
        <f>'Working capital'!$C$42</f>
        <v>0.01604517949</v>
      </c>
      <c r="C134" s="29">
        <f>'Working capital'!$C$42</f>
        <v>0.01604517949</v>
      </c>
      <c r="D134" s="29">
        <f>'Working capital'!$C$42</f>
        <v>0.01604517949</v>
      </c>
      <c r="E134" s="29">
        <f>'Working capital'!$C$42</f>
        <v>0.01604517949</v>
      </c>
      <c r="F134" s="29">
        <f>'Working capital'!$C$42</f>
        <v>0.01604517949</v>
      </c>
      <c r="G134" s="29">
        <f>'Working capital'!$C$42</f>
        <v>0.01604517949</v>
      </c>
      <c r="H134" s="3"/>
    </row>
    <row r="135" ht="20.25" customHeight="1">
      <c r="A135" s="3" t="s">
        <v>134</v>
      </c>
      <c r="B135" s="29">
        <f>'Working capital'!$C$42</f>
        <v>0.01604517949</v>
      </c>
      <c r="C135" s="29">
        <f>'Working capital'!$C$42</f>
        <v>0.01604517949</v>
      </c>
      <c r="D135" s="29">
        <f>'Working capital'!$C$42</f>
        <v>0.01604517949</v>
      </c>
      <c r="E135" s="29">
        <f>'Working capital'!$C$42</f>
        <v>0.01604517949</v>
      </c>
      <c r="F135" s="29">
        <f>'Working capital'!$C$42</f>
        <v>0.01604517949</v>
      </c>
      <c r="G135" s="29">
        <f>'Working capital'!$C$42</f>
        <v>0.01604517949</v>
      </c>
      <c r="H135" s="3"/>
    </row>
    <row r="136" ht="20.25" customHeight="1">
      <c r="A136" s="3" t="s">
        <v>135</v>
      </c>
      <c r="B136" s="29">
        <f>'Working capital'!$C$42</f>
        <v>0.01604517949</v>
      </c>
      <c r="C136" s="29">
        <f>'Working capital'!$C$42</f>
        <v>0.01604517949</v>
      </c>
      <c r="D136" s="29">
        <f>'Working capital'!$C$42</f>
        <v>0.01604517949</v>
      </c>
      <c r="E136" s="29">
        <f>'Working capital'!$C$42</f>
        <v>0.01604517949</v>
      </c>
      <c r="F136" s="29">
        <f>'Working capital'!$C$42</f>
        <v>0.01604517949</v>
      </c>
      <c r="G136" s="29">
        <f>'Working capital'!$C$42</f>
        <v>0.01604517949</v>
      </c>
      <c r="H136" s="3"/>
    </row>
    <row r="137" ht="20.25" customHeight="1">
      <c r="A137" s="3"/>
      <c r="B137" s="3"/>
      <c r="C137" s="3"/>
      <c r="D137" s="3"/>
      <c r="E137" s="3"/>
      <c r="F137" s="3"/>
      <c r="G137" s="3"/>
      <c r="H137" s="3"/>
    </row>
    <row r="138" ht="49.5" customHeight="1">
      <c r="A138" s="72" t="s">
        <v>198</v>
      </c>
      <c r="B138" s="76">
        <f t="shared" ref="B138:G138" si="25">INDEX(B139:B141,MATCH($B$3,$A139:$A141,0))</f>
        <v>0.06170688054</v>
      </c>
      <c r="C138" s="76">
        <f t="shared" si="25"/>
        <v>0.06170688054</v>
      </c>
      <c r="D138" s="76">
        <f t="shared" si="25"/>
        <v>0.06170688054</v>
      </c>
      <c r="E138" s="76">
        <f t="shared" si="25"/>
        <v>0.06170688054</v>
      </c>
      <c r="F138" s="76">
        <f t="shared" si="25"/>
        <v>0.06170688054</v>
      </c>
      <c r="G138" s="76">
        <f t="shared" si="25"/>
        <v>0.06170688054</v>
      </c>
      <c r="H138" s="72" t="s">
        <v>193</v>
      </c>
    </row>
    <row r="139" ht="20.25" customHeight="1">
      <c r="A139" s="3" t="s">
        <v>128</v>
      </c>
      <c r="B139" s="29">
        <f>'Working capital'!$C$43</f>
        <v>0.06170688054</v>
      </c>
      <c r="C139" s="29">
        <f>'Working capital'!$C$43</f>
        <v>0.06170688054</v>
      </c>
      <c r="D139" s="29">
        <f>'Working capital'!$C$43</f>
        <v>0.06170688054</v>
      </c>
      <c r="E139" s="29">
        <f>'Working capital'!$C$43</f>
        <v>0.06170688054</v>
      </c>
      <c r="F139" s="29">
        <f>'Working capital'!$C$43</f>
        <v>0.06170688054</v>
      </c>
      <c r="G139" s="29">
        <f>'Working capital'!$C$43</f>
        <v>0.06170688054</v>
      </c>
      <c r="H139" s="3"/>
    </row>
    <row r="140" ht="20.25" customHeight="1">
      <c r="A140" s="3" t="s">
        <v>134</v>
      </c>
      <c r="B140" s="29">
        <f>'Working capital'!$C$43</f>
        <v>0.06170688054</v>
      </c>
      <c r="C140" s="29">
        <f>'Working capital'!$C$43</f>
        <v>0.06170688054</v>
      </c>
      <c r="D140" s="29">
        <f>'Working capital'!$C$43</f>
        <v>0.06170688054</v>
      </c>
      <c r="E140" s="29">
        <f>'Working capital'!$C$43</f>
        <v>0.06170688054</v>
      </c>
      <c r="F140" s="29">
        <f>'Working capital'!$C$43</f>
        <v>0.06170688054</v>
      </c>
      <c r="G140" s="29">
        <f>'Working capital'!$C$43</f>
        <v>0.06170688054</v>
      </c>
      <c r="H140" s="3"/>
    </row>
    <row r="141" ht="20.25" customHeight="1">
      <c r="A141" s="3" t="s">
        <v>135</v>
      </c>
      <c r="B141" s="29">
        <f>'Working capital'!$C$43</f>
        <v>0.06170688054</v>
      </c>
      <c r="C141" s="29">
        <f>'Working capital'!$C$43</f>
        <v>0.06170688054</v>
      </c>
      <c r="D141" s="29">
        <f>'Working capital'!$C$43</f>
        <v>0.06170688054</v>
      </c>
      <c r="E141" s="29">
        <f>'Working capital'!$C$43</f>
        <v>0.06170688054</v>
      </c>
      <c r="F141" s="29">
        <f>'Working capital'!$C$43</f>
        <v>0.06170688054</v>
      </c>
      <c r="G141" s="29">
        <f>'Working capital'!$C$43</f>
        <v>0.06170688054</v>
      </c>
      <c r="H141" s="3"/>
    </row>
    <row r="142" ht="20.25" customHeight="1">
      <c r="A142" s="3"/>
      <c r="B142" s="3"/>
      <c r="C142" s="3"/>
      <c r="D142" s="3"/>
      <c r="E142" s="3"/>
      <c r="F142" s="3"/>
      <c r="G142" s="3"/>
      <c r="H142" s="3"/>
    </row>
    <row r="143" ht="20.25" customHeight="1">
      <c r="A143" s="3"/>
      <c r="B143" s="3"/>
      <c r="C143" s="3"/>
      <c r="D143" s="3"/>
      <c r="E143" s="3"/>
      <c r="F143" s="3"/>
      <c r="G143" s="3"/>
      <c r="H143" s="3"/>
    </row>
    <row r="144" ht="20.25" customHeight="1">
      <c r="A144" s="3"/>
      <c r="B144" s="3"/>
      <c r="C144" s="3"/>
      <c r="D144" s="3"/>
      <c r="E144" s="3"/>
      <c r="F144" s="3"/>
      <c r="G144" s="3"/>
      <c r="H144" s="3"/>
    </row>
    <row r="145" ht="20.25" customHeight="1">
      <c r="A145" s="3"/>
      <c r="B145" s="3"/>
      <c r="C145" s="3"/>
      <c r="D145" s="3"/>
      <c r="E145" s="3"/>
      <c r="F145" s="3"/>
      <c r="G145" s="3"/>
      <c r="H145" s="3"/>
    </row>
    <row r="146" ht="31.5" customHeight="1">
      <c r="A146" s="78" t="s">
        <v>199</v>
      </c>
      <c r="B146" s="78" t="s">
        <v>5</v>
      </c>
      <c r="C146" s="6" t="s">
        <v>6</v>
      </c>
    </row>
    <row r="147" ht="31.5" customHeight="1">
      <c r="A147" s="3" t="s">
        <v>200</v>
      </c>
      <c r="B147" s="3">
        <v>5.0</v>
      </c>
      <c r="C147" s="10" t="s">
        <v>201</v>
      </c>
    </row>
    <row r="148" ht="31.5" customHeight="1">
      <c r="A148" s="3" t="s">
        <v>202</v>
      </c>
      <c r="B148" s="79"/>
      <c r="C148" s="15" t="s">
        <v>203</v>
      </c>
    </row>
    <row r="149" ht="31.5" customHeight="1">
      <c r="A149" s="3" t="s">
        <v>204</v>
      </c>
      <c r="B149" s="79">
        <v>0.21</v>
      </c>
      <c r="C149" s="10" t="s">
        <v>205</v>
      </c>
    </row>
    <row r="150" ht="20.25" customHeight="1">
      <c r="A150" s="3"/>
      <c r="B150" s="3"/>
      <c r="C150" s="3"/>
      <c r="D150" s="3"/>
      <c r="E150" s="3"/>
      <c r="F150" s="3"/>
      <c r="G150" s="3"/>
      <c r="H150" s="3"/>
    </row>
    <row r="151" ht="20.25" customHeight="1">
      <c r="A151" s="3"/>
      <c r="B151" s="3"/>
      <c r="C151" s="3"/>
      <c r="D151" s="3"/>
      <c r="E151" s="3"/>
      <c r="F151" s="3"/>
      <c r="G151" s="3"/>
      <c r="H151" s="3"/>
    </row>
    <row r="152" ht="20.25" customHeight="1">
      <c r="A152" s="3"/>
      <c r="B152" s="3"/>
      <c r="C152" s="3"/>
      <c r="D152" s="3"/>
      <c r="E152" s="3"/>
      <c r="F152" s="3"/>
      <c r="G152" s="3"/>
      <c r="H152" s="3"/>
    </row>
    <row r="153" ht="49.5" customHeight="1">
      <c r="A153" s="72" t="s">
        <v>206</v>
      </c>
      <c r="B153" s="76">
        <f t="shared" ref="B153:G153" si="26">INDEX(B154:B156,MATCH($B$3,$A154:$A156,0))</f>
        <v>0</v>
      </c>
      <c r="C153" s="76">
        <f t="shared" si="26"/>
        <v>0</v>
      </c>
      <c r="D153" s="76">
        <f t="shared" si="26"/>
        <v>0</v>
      </c>
      <c r="E153" s="76">
        <f t="shared" si="26"/>
        <v>0</v>
      </c>
      <c r="F153" s="76">
        <f t="shared" si="26"/>
        <v>0</v>
      </c>
      <c r="G153" s="76">
        <f t="shared" si="26"/>
        <v>0</v>
      </c>
      <c r="H153" s="72" t="s">
        <v>207</v>
      </c>
    </row>
    <row r="154" ht="20.25" customHeight="1">
      <c r="A154" s="3" t="s">
        <v>128</v>
      </c>
      <c r="B154" s="29">
        <v>0.0</v>
      </c>
      <c r="C154" s="29">
        <v>0.0</v>
      </c>
      <c r="D154" s="29">
        <v>0.0</v>
      </c>
      <c r="E154" s="29">
        <v>0.0</v>
      </c>
      <c r="F154" s="29">
        <v>0.0</v>
      </c>
      <c r="G154" s="29">
        <v>0.0</v>
      </c>
      <c r="H154" s="3"/>
    </row>
    <row r="155" ht="20.25" customHeight="1">
      <c r="A155" s="3" t="s">
        <v>134</v>
      </c>
      <c r="B155" s="29">
        <v>-0.0025</v>
      </c>
      <c r="C155" s="29">
        <v>-0.0025</v>
      </c>
      <c r="D155" s="29">
        <v>-0.003</v>
      </c>
      <c r="E155" s="29">
        <v>-0.003</v>
      </c>
      <c r="F155" s="29">
        <v>-0.004</v>
      </c>
      <c r="G155" s="29">
        <v>-0.005</v>
      </c>
      <c r="H155" s="3"/>
    </row>
    <row r="156" ht="20.25" customHeight="1">
      <c r="A156" s="3" t="s">
        <v>135</v>
      </c>
      <c r="B156" s="29">
        <v>0.0025</v>
      </c>
      <c r="C156" s="29">
        <v>0.0025</v>
      </c>
      <c r="D156" s="29">
        <v>0.003</v>
      </c>
      <c r="E156" s="29">
        <v>0.003</v>
      </c>
      <c r="F156" s="29">
        <v>0.004</v>
      </c>
      <c r="G156" s="29">
        <v>0.005</v>
      </c>
      <c r="H156" s="3"/>
    </row>
    <row r="157" ht="20.25" customHeight="1">
      <c r="A157" s="3"/>
      <c r="B157" s="3"/>
      <c r="C157" s="3"/>
      <c r="D157" s="3"/>
      <c r="E157" s="3"/>
      <c r="F157" s="3"/>
      <c r="G157" s="3"/>
      <c r="H157" s="3"/>
    </row>
    <row r="158" ht="49.5" customHeight="1">
      <c r="A158" s="77" t="s">
        <v>208</v>
      </c>
      <c r="B158" s="76"/>
      <c r="C158" s="76"/>
      <c r="D158" s="76"/>
      <c r="E158" s="76"/>
      <c r="F158" s="76"/>
      <c r="G158" s="76"/>
      <c r="H158" s="77" t="s">
        <v>209</v>
      </c>
    </row>
    <row r="159" ht="20.25" customHeight="1">
      <c r="A159" s="35" t="s">
        <v>210</v>
      </c>
      <c r="B159" s="29"/>
      <c r="C159" s="29"/>
      <c r="D159" s="29"/>
      <c r="E159" s="29"/>
      <c r="F159" s="29"/>
      <c r="G159" s="29"/>
      <c r="H159" s="3"/>
    </row>
    <row r="160" ht="20.25" customHeight="1">
      <c r="A160" s="3"/>
      <c r="B160" s="29"/>
      <c r="C160" s="29"/>
      <c r="D160" s="29"/>
      <c r="E160" s="29"/>
      <c r="F160" s="29"/>
      <c r="G160" s="29"/>
      <c r="H160" s="3"/>
    </row>
    <row r="161" ht="20.25" customHeight="1">
      <c r="A161" s="3"/>
      <c r="B161" s="29"/>
      <c r="C161" s="29"/>
      <c r="D161" s="29"/>
      <c r="E161" s="29"/>
      <c r="F161" s="29"/>
      <c r="G161" s="29"/>
      <c r="H161" s="3"/>
    </row>
    <row r="166" ht="21.0" customHeight="1">
      <c r="A166" s="80" t="s">
        <v>211</v>
      </c>
    </row>
    <row r="167" ht="21.0" customHeight="1">
      <c r="A167" s="81" t="s">
        <v>212</v>
      </c>
      <c r="B167" s="82">
        <v>0.1</v>
      </c>
      <c r="C167" s="82">
        <v>0.26</v>
      </c>
      <c r="D167" s="82">
        <v>0.24</v>
      </c>
      <c r="E167" s="82">
        <v>0.18</v>
      </c>
      <c r="F167" s="82">
        <v>0.13</v>
      </c>
      <c r="G167" s="82">
        <v>0.09</v>
      </c>
      <c r="H167" s="81" t="s">
        <v>213</v>
      </c>
    </row>
    <row r="168" ht="39.0" customHeight="1">
      <c r="A168" s="81" t="s">
        <v>214</v>
      </c>
      <c r="B168" s="82">
        <v>0.15</v>
      </c>
      <c r="C168" s="81" t="s">
        <v>215</v>
      </c>
      <c r="H168" s="83"/>
    </row>
    <row r="169" ht="39.0" customHeight="1">
      <c r="A169" s="81" t="s">
        <v>216</v>
      </c>
      <c r="B169" s="82">
        <v>0.51</v>
      </c>
      <c r="C169" s="81" t="s">
        <v>217</v>
      </c>
      <c r="H169" s="83"/>
    </row>
    <row r="170" ht="39.0" customHeight="1">
      <c r="A170" s="84" t="s">
        <v>218</v>
      </c>
      <c r="B170" s="82">
        <v>0.6</v>
      </c>
      <c r="C170" s="84" t="s">
        <v>219</v>
      </c>
      <c r="H170" s="83"/>
    </row>
    <row r="171" ht="39.0" customHeight="1">
      <c r="A171" s="81" t="s">
        <v>220</v>
      </c>
      <c r="B171" s="82">
        <v>0.15</v>
      </c>
      <c r="C171" s="81" t="s">
        <v>221</v>
      </c>
      <c r="H171" s="83"/>
    </row>
    <row r="172" ht="39.0" customHeight="1">
      <c r="A172" s="85" t="s">
        <v>222</v>
      </c>
      <c r="B172" s="86">
        <f t="array" ref="B172">INDEX(B173:B175,MATCH($B$3,$A173:$A175,0))</f>
        <v>0.2</v>
      </c>
      <c r="C172" s="85" t="s">
        <v>223</v>
      </c>
      <c r="H172" s="83"/>
    </row>
    <row r="173" ht="21.0" customHeight="1">
      <c r="A173" s="81" t="s">
        <v>128</v>
      </c>
      <c r="B173" s="82">
        <v>0.2</v>
      </c>
      <c r="C173" s="83"/>
      <c r="D173" s="83"/>
      <c r="E173" s="83"/>
      <c r="F173" s="83"/>
      <c r="G173" s="83"/>
      <c r="H173" s="83"/>
    </row>
    <row r="174" ht="21.0" customHeight="1">
      <c r="A174" s="81" t="s">
        <v>134</v>
      </c>
      <c r="B174" s="82">
        <v>0.2</v>
      </c>
      <c r="C174" s="83"/>
      <c r="D174" s="83"/>
      <c r="E174" s="83"/>
      <c r="F174" s="83"/>
      <c r="G174" s="83"/>
      <c r="H174" s="83"/>
    </row>
    <row r="175" ht="21.0" customHeight="1">
      <c r="A175" s="81" t="s">
        <v>135</v>
      </c>
      <c r="B175" s="82">
        <v>0.2</v>
      </c>
      <c r="C175" s="83"/>
      <c r="D175" s="83"/>
      <c r="E175" s="83"/>
      <c r="F175" s="83"/>
      <c r="G175" s="83"/>
      <c r="H175" s="83"/>
    </row>
    <row r="176" ht="21.0" customHeight="1">
      <c r="A176" s="83"/>
      <c r="B176" s="87"/>
      <c r="C176" s="83"/>
      <c r="D176" s="83"/>
      <c r="E176" s="83"/>
      <c r="F176" s="83"/>
      <c r="G176" s="83"/>
      <c r="H176" s="83"/>
    </row>
    <row r="177" ht="39.0" customHeight="1">
      <c r="A177" s="85" t="s">
        <v>224</v>
      </c>
      <c r="B177" s="86">
        <f t="array" ref="B177">INDEX(B178:B180,MATCH($B$3,$A178:$A180,0))</f>
        <v>0.05</v>
      </c>
      <c r="C177" s="85" t="s">
        <v>225</v>
      </c>
      <c r="H177" s="83"/>
    </row>
    <row r="178" ht="21.0" customHeight="1">
      <c r="A178" s="81" t="s">
        <v>128</v>
      </c>
      <c r="B178" s="82">
        <v>0.05</v>
      </c>
      <c r="C178" s="83"/>
      <c r="D178" s="83"/>
      <c r="E178" s="83"/>
      <c r="F178" s="83"/>
      <c r="G178" s="83"/>
      <c r="H178" s="83"/>
    </row>
    <row r="179" ht="21.0" customHeight="1">
      <c r="A179" s="81" t="s">
        <v>134</v>
      </c>
      <c r="B179" s="82">
        <v>0.0</v>
      </c>
      <c r="C179" s="83"/>
      <c r="D179" s="83"/>
      <c r="E179" s="83"/>
      <c r="F179" s="83"/>
      <c r="G179" s="83"/>
      <c r="H179" s="83"/>
    </row>
    <row r="180" ht="21.0" customHeight="1">
      <c r="A180" s="81" t="s">
        <v>135</v>
      </c>
      <c r="B180" s="82">
        <v>0.25</v>
      </c>
      <c r="C180" s="83"/>
      <c r="D180" s="83"/>
      <c r="E180" s="83"/>
      <c r="F180" s="83"/>
      <c r="G180" s="83"/>
      <c r="H180" s="83"/>
    </row>
    <row r="181" ht="21.0" customHeight="1">
      <c r="A181" s="83"/>
      <c r="B181" s="87"/>
      <c r="C181" s="83"/>
      <c r="D181" s="83"/>
      <c r="E181" s="83"/>
      <c r="F181" s="83"/>
      <c r="G181" s="83"/>
      <c r="H181" s="83"/>
    </row>
    <row r="182" ht="39.0" customHeight="1">
      <c r="A182" s="85" t="s">
        <v>226</v>
      </c>
      <c r="B182" s="86">
        <f t="array" ref="B182">INDEX(B183:B185,MATCH($B$3,$A183:$A185,0))</f>
        <v>0.1</v>
      </c>
      <c r="C182" s="85" t="s">
        <v>227</v>
      </c>
      <c r="H182" s="83"/>
    </row>
    <row r="183" ht="21.0" customHeight="1">
      <c r="A183" s="81" t="s">
        <v>128</v>
      </c>
      <c r="B183" s="82">
        <v>0.1</v>
      </c>
      <c r="C183" s="83"/>
      <c r="D183" s="83"/>
      <c r="E183" s="83"/>
      <c r="F183" s="83"/>
      <c r="G183" s="83"/>
      <c r="H183" s="83"/>
    </row>
    <row r="184" ht="21.0" customHeight="1">
      <c r="A184" s="81" t="s">
        <v>134</v>
      </c>
      <c r="B184" s="82">
        <v>0.0</v>
      </c>
      <c r="C184" s="83"/>
      <c r="D184" s="83"/>
      <c r="E184" s="83"/>
      <c r="F184" s="83"/>
      <c r="G184" s="83"/>
      <c r="H184" s="83"/>
    </row>
    <row r="185" ht="21.0" customHeight="1">
      <c r="A185" s="81" t="s">
        <v>135</v>
      </c>
      <c r="B185" s="82">
        <v>0.35</v>
      </c>
      <c r="C185" s="83"/>
      <c r="D185" s="83"/>
      <c r="E185" s="83"/>
      <c r="F185" s="83"/>
      <c r="G185" s="83"/>
      <c r="H185" s="83"/>
    </row>
    <row r="186" ht="21.0" customHeight="1">
      <c r="A186" s="83"/>
      <c r="B186" s="87"/>
      <c r="C186" s="83"/>
      <c r="D186" s="83"/>
      <c r="E186" s="83"/>
      <c r="F186" s="83"/>
      <c r="G186" s="83"/>
      <c r="H186" s="83"/>
    </row>
    <row r="187" ht="39.0" customHeight="1">
      <c r="A187" s="85" t="s">
        <v>228</v>
      </c>
      <c r="B187" s="86">
        <f t="array" ref="B187">INDEX(B188:B190,MATCH($B$3,$A188:$A190,0))</f>
        <v>0.5</v>
      </c>
      <c r="C187" s="85" t="s">
        <v>229</v>
      </c>
      <c r="H187" s="83"/>
    </row>
    <row r="188" ht="21.0" customHeight="1">
      <c r="A188" s="81" t="s">
        <v>128</v>
      </c>
      <c r="B188" s="82">
        <v>0.5</v>
      </c>
      <c r="C188" s="83"/>
      <c r="D188" s="83"/>
      <c r="E188" s="83"/>
      <c r="F188" s="83"/>
      <c r="G188" s="83"/>
      <c r="H188" s="83"/>
    </row>
    <row r="189" ht="21.0" customHeight="1">
      <c r="A189" s="81" t="s">
        <v>134</v>
      </c>
      <c r="B189" s="82">
        <v>0.5</v>
      </c>
      <c r="C189" s="83"/>
      <c r="D189" s="83"/>
      <c r="E189" s="83"/>
      <c r="F189" s="83"/>
      <c r="G189" s="83"/>
      <c r="H189" s="83"/>
    </row>
    <row r="190" ht="21.0" customHeight="1">
      <c r="A190" s="81" t="s">
        <v>135</v>
      </c>
      <c r="B190" s="82">
        <v>0.5</v>
      </c>
      <c r="C190" s="83"/>
      <c r="D190" s="83"/>
      <c r="E190" s="83"/>
      <c r="F190" s="83"/>
      <c r="G190" s="83"/>
      <c r="H190" s="83"/>
    </row>
    <row r="191" ht="21.0" customHeight="1">
      <c r="A191" s="83"/>
      <c r="B191" s="87"/>
      <c r="C191" s="83"/>
      <c r="D191" s="83"/>
      <c r="E191" s="83"/>
      <c r="F191" s="83"/>
      <c r="G191" s="83"/>
      <c r="H191" s="83"/>
    </row>
    <row r="192" ht="39.0" customHeight="1">
      <c r="A192" s="85" t="s">
        <v>230</v>
      </c>
      <c r="B192" s="86">
        <f t="array" ref="B192">INDEX(B193:B195,MATCH($B$3,$A193:$A195,0))</f>
        <v>1</v>
      </c>
      <c r="C192" s="85" t="s">
        <v>231</v>
      </c>
      <c r="H192" s="83"/>
    </row>
    <row r="193" ht="21.0" customHeight="1">
      <c r="A193" s="81" t="s">
        <v>128</v>
      </c>
      <c r="B193" s="82">
        <v>1.0</v>
      </c>
      <c r="C193" s="83"/>
      <c r="D193" s="83"/>
      <c r="E193" s="83"/>
      <c r="F193" s="83"/>
      <c r="G193" s="83"/>
      <c r="H193" s="83"/>
    </row>
    <row r="194" ht="21.0" customHeight="1">
      <c r="A194" s="81" t="s">
        <v>134</v>
      </c>
      <c r="B194" s="82">
        <v>0.9</v>
      </c>
      <c r="C194" s="83"/>
      <c r="D194" s="83"/>
      <c r="E194" s="83"/>
      <c r="F194" s="83"/>
      <c r="G194" s="83"/>
      <c r="H194" s="83"/>
    </row>
    <row r="195" ht="21.0" customHeight="1">
      <c r="A195" s="81" t="s">
        <v>135</v>
      </c>
      <c r="B195" s="88">
        <v>1.1</v>
      </c>
      <c r="C195" s="83"/>
      <c r="D195" s="83"/>
      <c r="E195" s="83"/>
      <c r="F195" s="83"/>
      <c r="G195" s="83"/>
      <c r="H195" s="83"/>
    </row>
    <row r="196" ht="21.0" customHeight="1">
      <c r="A196" s="83"/>
      <c r="B196" s="87"/>
      <c r="C196" s="83"/>
      <c r="D196" s="83"/>
      <c r="E196" s="83"/>
      <c r="F196" s="83"/>
      <c r="G196" s="83"/>
      <c r="H196" s="83"/>
    </row>
    <row r="197" ht="39.0" customHeight="1">
      <c r="A197" s="85" t="s">
        <v>232</v>
      </c>
      <c r="B197" s="86">
        <f t="array" ref="B197">INDEX(B198:B200,MATCH($B$3,$A198:$A200,0))</f>
        <v>0.03</v>
      </c>
      <c r="C197" s="85" t="s">
        <v>233</v>
      </c>
      <c r="H197" s="83"/>
    </row>
    <row r="198" ht="21.0" customHeight="1">
      <c r="A198" s="81" t="s">
        <v>128</v>
      </c>
      <c r="B198" s="82">
        <v>0.03</v>
      </c>
      <c r="C198" s="83"/>
      <c r="D198" s="83"/>
      <c r="E198" s="83"/>
      <c r="F198" s="83"/>
      <c r="G198" s="83"/>
      <c r="H198" s="83"/>
    </row>
    <row r="199" ht="21.0" customHeight="1">
      <c r="A199" s="81" t="s">
        <v>134</v>
      </c>
      <c r="B199" s="82">
        <v>0.035</v>
      </c>
      <c r="C199" s="83"/>
      <c r="D199" s="83"/>
      <c r="E199" s="83"/>
      <c r="F199" s="83"/>
      <c r="G199" s="83"/>
      <c r="H199" s="83"/>
    </row>
    <row r="200" ht="21.0" customHeight="1">
      <c r="A200" s="81" t="s">
        <v>135</v>
      </c>
      <c r="B200" s="82">
        <v>0.015</v>
      </c>
      <c r="C200" s="83"/>
      <c r="D200" s="83"/>
      <c r="E200" s="83"/>
      <c r="F200" s="83"/>
      <c r="G200" s="83"/>
      <c r="H200" s="83"/>
    </row>
    <row r="201" ht="21.0" customHeight="1">
      <c r="A201" s="83"/>
      <c r="B201" s="87"/>
      <c r="C201" s="83"/>
      <c r="D201" s="83"/>
      <c r="E201" s="83"/>
      <c r="F201" s="83"/>
      <c r="G201" s="83"/>
      <c r="H201" s="83"/>
    </row>
    <row r="202" ht="39.0" customHeight="1">
      <c r="A202" s="85" t="s">
        <v>234</v>
      </c>
      <c r="B202" s="86">
        <f t="array" ref="B202">INDEX(B203:B205,MATCH($B$3,$A203:$A205,0))</f>
        <v>0.05</v>
      </c>
      <c r="C202" s="85" t="s">
        <v>235</v>
      </c>
      <c r="H202" s="83"/>
    </row>
    <row r="203" ht="21.0" customHeight="1">
      <c r="A203" s="81" t="s">
        <v>128</v>
      </c>
      <c r="B203" s="82">
        <v>0.05</v>
      </c>
      <c r="C203" s="83"/>
      <c r="D203" s="83"/>
      <c r="E203" s="83"/>
      <c r="F203" s="83"/>
      <c r="G203" s="83"/>
      <c r="H203" s="83"/>
    </row>
    <row r="204" ht="21.0" customHeight="1">
      <c r="A204" s="81" t="s">
        <v>134</v>
      </c>
      <c r="B204" s="82">
        <v>0.0</v>
      </c>
      <c r="C204" s="83"/>
      <c r="D204" s="83"/>
      <c r="E204" s="83"/>
      <c r="F204" s="83"/>
      <c r="G204" s="83"/>
      <c r="H204" s="83"/>
    </row>
    <row r="205" ht="21.0" customHeight="1">
      <c r="A205" s="81" t="s">
        <v>135</v>
      </c>
      <c r="B205" s="82">
        <v>0.2</v>
      </c>
      <c r="C205" s="83"/>
      <c r="D205" s="83"/>
      <c r="E205" s="83"/>
      <c r="F205" s="83"/>
      <c r="G205" s="83"/>
      <c r="H205" s="83"/>
    </row>
    <row r="206" ht="21.0" customHeight="1">
      <c r="A206" s="83"/>
      <c r="B206" s="87"/>
      <c r="C206" s="83"/>
      <c r="D206" s="83"/>
      <c r="E206" s="83"/>
      <c r="F206" s="83"/>
      <c r="G206" s="83"/>
      <c r="H206" s="83"/>
    </row>
    <row r="207" ht="39.0" customHeight="1">
      <c r="A207" s="85" t="s">
        <v>236</v>
      </c>
      <c r="B207" s="86">
        <f t="array" ref="B207">INDEX(B208:B210,MATCH($B$3,$A208:$A210,0))</f>
        <v>0.15</v>
      </c>
      <c r="C207" s="85" t="s">
        <v>237</v>
      </c>
      <c r="H207" s="83"/>
    </row>
    <row r="208" ht="21.0" customHeight="1">
      <c r="A208" s="81" t="s">
        <v>128</v>
      </c>
      <c r="B208" s="82">
        <v>0.15</v>
      </c>
      <c r="C208" s="83"/>
      <c r="D208" s="83"/>
      <c r="E208" s="83"/>
      <c r="F208" s="83"/>
      <c r="G208" s="83"/>
      <c r="H208" s="83"/>
    </row>
    <row r="209" ht="21.0" customHeight="1">
      <c r="A209" s="81" t="s">
        <v>134</v>
      </c>
      <c r="B209" s="82">
        <v>0.25</v>
      </c>
      <c r="C209" s="83"/>
      <c r="D209" s="83"/>
      <c r="E209" s="83"/>
      <c r="F209" s="83"/>
      <c r="G209" s="83"/>
      <c r="H209" s="83"/>
    </row>
    <row r="210" ht="21.0" customHeight="1">
      <c r="A210" s="81" t="s">
        <v>135</v>
      </c>
      <c r="B210" s="82">
        <v>0.08</v>
      </c>
      <c r="C210" s="83"/>
      <c r="D210" s="83"/>
      <c r="E210" s="83"/>
      <c r="F210" s="83"/>
      <c r="G210" s="83"/>
      <c r="H210" s="83"/>
    </row>
    <row r="211" ht="21.0" customHeight="1">
      <c r="A211" s="83"/>
      <c r="B211" s="87"/>
      <c r="C211" s="83"/>
      <c r="D211" s="83"/>
      <c r="E211" s="83"/>
      <c r="F211" s="83"/>
      <c r="G211" s="83"/>
      <c r="H211" s="83"/>
    </row>
    <row r="212" ht="39.0" customHeight="1">
      <c r="A212" s="85" t="s">
        <v>238</v>
      </c>
      <c r="B212" s="86">
        <f t="array" ref="B212">INDEX(B213:B215,MATCH($B$3,$A213:$A215,0))</f>
        <v>0.12</v>
      </c>
      <c r="C212" s="85" t="s">
        <v>239</v>
      </c>
      <c r="H212" s="83"/>
    </row>
    <row r="213" ht="21.0" customHeight="1">
      <c r="A213" s="81" t="s">
        <v>128</v>
      </c>
      <c r="B213" s="82">
        <v>0.12</v>
      </c>
      <c r="C213" s="83"/>
      <c r="D213" s="83"/>
      <c r="E213" s="83"/>
      <c r="F213" s="83"/>
      <c r="G213" s="83"/>
      <c r="H213" s="83"/>
    </row>
    <row r="214" ht="21.0" customHeight="1">
      <c r="A214" s="81" t="s">
        <v>134</v>
      </c>
      <c r="B214" s="82">
        <v>0.15</v>
      </c>
      <c r="C214" s="83"/>
      <c r="D214" s="83"/>
      <c r="E214" s="83"/>
      <c r="F214" s="83"/>
      <c r="G214" s="83"/>
      <c r="H214" s="83"/>
    </row>
    <row r="215" ht="21.0" customHeight="1">
      <c r="A215" s="81" t="s">
        <v>135</v>
      </c>
      <c r="B215" s="82">
        <v>0.2</v>
      </c>
      <c r="C215" s="83"/>
      <c r="D215" s="83"/>
      <c r="E215" s="83"/>
      <c r="F215" s="83"/>
      <c r="G215" s="83"/>
      <c r="H215" s="83"/>
    </row>
    <row r="216" ht="21.0" customHeight="1">
      <c r="A216" s="83"/>
      <c r="B216" s="87"/>
      <c r="C216" s="83"/>
      <c r="D216" s="83"/>
      <c r="E216" s="83"/>
      <c r="F216" s="83"/>
      <c r="G216" s="83"/>
      <c r="H216" s="83"/>
    </row>
    <row r="217" ht="39.0" customHeight="1">
      <c r="A217" s="81" t="s">
        <v>240</v>
      </c>
      <c r="B217" s="82">
        <v>0.05</v>
      </c>
      <c r="C217" s="81" t="s">
        <v>241</v>
      </c>
      <c r="H217" s="83"/>
    </row>
    <row r="218" ht="21.0" customHeight="1">
      <c r="A218" s="83"/>
      <c r="B218" s="87"/>
      <c r="C218" s="83"/>
      <c r="D218" s="83"/>
      <c r="E218" s="83"/>
      <c r="F218" s="83"/>
      <c r="G218" s="83"/>
      <c r="H218" s="83"/>
    </row>
    <row r="219" ht="21.0" customHeight="1">
      <c r="A219" s="83"/>
      <c r="B219" s="87"/>
      <c r="C219" s="83"/>
      <c r="D219" s="83"/>
      <c r="E219" s="83"/>
      <c r="F219" s="83"/>
      <c r="G219" s="83"/>
      <c r="H219" s="83"/>
    </row>
    <row r="220" ht="39.0" customHeight="1">
      <c r="A220" s="81" t="s">
        <v>242</v>
      </c>
      <c r="B220" s="82">
        <v>0.8</v>
      </c>
      <c r="C220" s="81" t="s">
        <v>243</v>
      </c>
      <c r="H220" s="83"/>
    </row>
    <row r="221" ht="39.0" customHeight="1">
      <c r="A221" s="81" t="s">
        <v>244</v>
      </c>
      <c r="B221" s="82">
        <v>0.03</v>
      </c>
      <c r="C221" s="81" t="s">
        <v>245</v>
      </c>
      <c r="H221" s="83"/>
    </row>
    <row r="222" ht="39.0" customHeight="1">
      <c r="A222" s="85" t="s">
        <v>246</v>
      </c>
      <c r="B222" s="86">
        <f t="array" ref="B222">INDEX(B223:B225,MATCH($B$3,$A223:$A225,0))</f>
        <v>0.1</v>
      </c>
      <c r="C222" s="85" t="s">
        <v>247</v>
      </c>
      <c r="H222" s="83"/>
    </row>
    <row r="223" ht="21.0" customHeight="1">
      <c r="A223" s="81" t="s">
        <v>128</v>
      </c>
      <c r="B223" s="82">
        <v>0.1</v>
      </c>
      <c r="C223" s="83"/>
      <c r="D223" s="83"/>
      <c r="E223" s="83"/>
      <c r="F223" s="83"/>
      <c r="G223" s="83"/>
      <c r="H223" s="83"/>
    </row>
    <row r="224" ht="21.0" customHeight="1">
      <c r="A224" s="81" t="s">
        <v>134</v>
      </c>
      <c r="B224" s="82">
        <v>0.05</v>
      </c>
      <c r="C224" s="83"/>
      <c r="D224" s="83"/>
      <c r="E224" s="83"/>
      <c r="F224" s="83"/>
      <c r="G224" s="83"/>
      <c r="H224" s="83"/>
    </row>
    <row r="225" ht="21.0" customHeight="1">
      <c r="A225" s="81" t="s">
        <v>135</v>
      </c>
      <c r="B225" s="82">
        <v>0.2</v>
      </c>
      <c r="C225" s="83"/>
      <c r="D225" s="83"/>
      <c r="E225" s="83"/>
      <c r="F225" s="83"/>
      <c r="G225" s="83"/>
      <c r="H225" s="83"/>
    </row>
    <row r="226" ht="21.0" customHeight="1">
      <c r="A226" s="83"/>
      <c r="B226" s="87"/>
      <c r="C226" s="83"/>
      <c r="D226" s="83"/>
      <c r="E226" s="83"/>
      <c r="F226" s="83"/>
      <c r="G226" s="83"/>
      <c r="H226" s="83"/>
    </row>
    <row r="227" ht="39.0" customHeight="1">
      <c r="A227" s="81" t="s">
        <v>248</v>
      </c>
      <c r="B227" s="82">
        <v>0.4</v>
      </c>
      <c r="C227" s="81" t="s">
        <v>249</v>
      </c>
      <c r="H227" s="83"/>
    </row>
    <row r="228" ht="21.0" customHeight="1">
      <c r="A228" s="83"/>
      <c r="B228" s="87"/>
      <c r="C228" s="83"/>
      <c r="D228" s="83"/>
      <c r="E228" s="83"/>
      <c r="F228" s="83"/>
      <c r="G228" s="83"/>
      <c r="H228" s="83"/>
    </row>
    <row r="229" ht="39.0" customHeight="1">
      <c r="A229" s="85" t="s">
        <v>250</v>
      </c>
      <c r="B229" s="86">
        <f t="array" ref="B229">INDEX(B230:B232,MATCH($B$3,$A230:$A232,0))</f>
        <v>0.5</v>
      </c>
      <c r="C229" s="85" t="s">
        <v>251</v>
      </c>
      <c r="H229" s="83"/>
    </row>
    <row r="230" ht="21.0" customHeight="1">
      <c r="A230" s="81" t="s">
        <v>128</v>
      </c>
      <c r="B230" s="82">
        <v>0.5</v>
      </c>
      <c r="C230" s="83"/>
      <c r="D230" s="83"/>
      <c r="E230" s="83"/>
      <c r="F230" s="83"/>
      <c r="G230" s="83"/>
      <c r="H230" s="83"/>
    </row>
    <row r="231" ht="21.0" customHeight="1">
      <c r="A231" s="81" t="s">
        <v>134</v>
      </c>
      <c r="B231" s="82">
        <v>1.0</v>
      </c>
      <c r="C231" s="83"/>
      <c r="D231" s="83"/>
      <c r="E231" s="83"/>
      <c r="F231" s="83"/>
      <c r="G231" s="83"/>
      <c r="H231" s="83"/>
    </row>
    <row r="232" ht="21.0" customHeight="1">
      <c r="A232" s="81" t="s">
        <v>135</v>
      </c>
      <c r="B232" s="82">
        <v>0.25</v>
      </c>
      <c r="C232" s="83"/>
      <c r="D232" s="83"/>
      <c r="E232" s="83"/>
      <c r="F232" s="83"/>
      <c r="G232" s="83"/>
      <c r="H232" s="83"/>
    </row>
    <row r="234">
      <c r="A234" s="89" t="s">
        <v>252</v>
      </c>
      <c r="B234" s="90">
        <v>0.3945</v>
      </c>
      <c r="C234" s="90">
        <v>0.4772</v>
      </c>
      <c r="D234" s="90">
        <v>0.5772</v>
      </c>
      <c r="E234" s="90">
        <v>0.6496</v>
      </c>
      <c r="F234" s="90">
        <v>0.7047</v>
      </c>
      <c r="G234" s="90">
        <v>0.736</v>
      </c>
      <c r="H234" s="89" t="s">
        <v>253</v>
      </c>
    </row>
    <row r="236">
      <c r="A236" s="7" t="s">
        <v>254</v>
      </c>
      <c r="B236" s="10"/>
      <c r="C236" s="10"/>
    </row>
    <row r="237">
      <c r="A237" s="7" t="s">
        <v>255</v>
      </c>
      <c r="B237" s="91">
        <f>MAX(0,'Sources and basis'!B56-B94)</f>
        <v>2495</v>
      </c>
      <c r="C237" s="7" t="s">
        <v>256</v>
      </c>
    </row>
    <row r="238">
      <c r="A238" s="7" t="s">
        <v>257</v>
      </c>
      <c r="B238" s="92">
        <v>5.0</v>
      </c>
      <c r="C238" s="7" t="s">
        <v>258</v>
      </c>
    </row>
    <row r="239">
      <c r="A239" s="7" t="s">
        <v>259</v>
      </c>
      <c r="B239" s="93">
        <v>0.0</v>
      </c>
      <c r="C239" s="7" t="s">
        <v>260</v>
      </c>
    </row>
  </sheetData>
  <mergeCells count="41">
    <mergeCell ref="A1:H1"/>
    <mergeCell ref="A2:H2"/>
    <mergeCell ref="C88:H88"/>
    <mergeCell ref="C89:H89"/>
    <mergeCell ref="C90:H90"/>
    <mergeCell ref="C91:H91"/>
    <mergeCell ref="C92:H92"/>
    <mergeCell ref="C93:H93"/>
    <mergeCell ref="C94:H94"/>
    <mergeCell ref="C95:H95"/>
    <mergeCell ref="C96:H96"/>
    <mergeCell ref="A98:H98"/>
    <mergeCell ref="A99:H99"/>
    <mergeCell ref="C146:H146"/>
    <mergeCell ref="C147:H147"/>
    <mergeCell ref="C148:H148"/>
    <mergeCell ref="C149:H149"/>
    <mergeCell ref="A166:H166"/>
    <mergeCell ref="C168:G168"/>
    <mergeCell ref="C169:G169"/>
    <mergeCell ref="C170:G170"/>
    <mergeCell ref="C171:G171"/>
    <mergeCell ref="C172:G172"/>
    <mergeCell ref="C177:G177"/>
    <mergeCell ref="C182:G182"/>
    <mergeCell ref="C187:G187"/>
    <mergeCell ref="C192:G192"/>
    <mergeCell ref="C197:G197"/>
    <mergeCell ref="C227:G227"/>
    <mergeCell ref="C229:G229"/>
    <mergeCell ref="C236:H236"/>
    <mergeCell ref="C237:H237"/>
    <mergeCell ref="C238:H238"/>
    <mergeCell ref="C239:H239"/>
    <mergeCell ref="C202:G202"/>
    <mergeCell ref="C207:G207"/>
    <mergeCell ref="C212:G212"/>
    <mergeCell ref="C217:G217"/>
    <mergeCell ref="C220:G220"/>
    <mergeCell ref="C221:G221"/>
    <mergeCell ref="C222:G222"/>
  </mergeCells>
  <dataValidations>
    <dataValidation type="decimal" operator="equal" allowBlank="1" showDropDown="1" showInputMessage="1" showErrorMessage="1" prompt="This schedule contains five transition years; extend the schedule before changing its duration." sqref="B147">
      <formula1>5.0</formula1>
    </dataValidation>
    <dataValidation type="decimal" allowBlank="1" showInputMessage="1" showErrorMessage="1" prompt="Enter a percentage between 0% and 100%." sqref="B167:G167 B168:B171 B173:B175 B178:B180 B183:B185 B188:B190 B193:B194 B198:B200 B203:B205 B208:B210 B213:B215 B217 B220:B221 B223:B225 B227 B230:B232">
      <formula1>0.0</formula1>
      <formula2>1.0</formula2>
    </dataValidation>
    <dataValidation type="decimal" allowBlank="1" showDropDown="1" showInputMessage="1" showErrorMessage="1" prompt="0 = no deduction; 1 = full book-amortisation deduction sensitivity." sqref="B239">
      <formula1>0.0</formula1>
      <formula2>1.0</formula2>
    </dataValidation>
    <dataValidation type="list" allowBlank="1" showErrorMessage="1" sqref="B3">
      <formula1>"Base,Bull,Bear"</formula1>
    </dataValidation>
    <dataValidation type="decimal" allowBlank="1" showDropDown="1" showInputMessage="1" showErrorMessage="1" prompt="Allocate the residual across 1–5 years from 2032; terminal begins 2037." sqref="B238">
      <formula1>1.0</formula1>
      <formula2>5.0</formula2>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4" width="15.75"/>
    <col customWidth="1" min="5" max="5" width="41.38"/>
  </cols>
  <sheetData>
    <row r="1" ht="28.5" customHeight="1">
      <c r="A1" s="94" t="s">
        <v>261</v>
      </c>
    </row>
    <row r="2" ht="39.0" customHeight="1">
      <c r="A2" s="95" t="s">
        <v>262</v>
      </c>
    </row>
    <row r="3" ht="24.0" customHeight="1">
      <c r="A3" s="96" t="s">
        <v>263</v>
      </c>
      <c r="B3" s="96" t="str">
        <f>Assumptions!B3</f>
        <v>Base</v>
      </c>
      <c r="C3" s="96"/>
      <c r="D3" s="96"/>
      <c r="E3" s="96"/>
    </row>
    <row r="4" ht="24.0" customHeight="1">
      <c r="A4" s="96" t="s">
        <v>3</v>
      </c>
      <c r="B4" s="97">
        <f>Assumptions!B4</f>
        <v>46320</v>
      </c>
      <c r="C4" s="96"/>
      <c r="D4" s="96"/>
      <c r="E4" s="96"/>
    </row>
    <row r="5" ht="24.0" customHeight="1">
      <c r="A5" s="96"/>
      <c r="B5" s="96"/>
      <c r="C5" s="96"/>
      <c r="D5" s="96"/>
      <c r="E5" s="96"/>
    </row>
    <row r="6" ht="31.5" customHeight="1">
      <c r="A6" s="47" t="s">
        <v>264</v>
      </c>
      <c r="B6" s="47" t="s">
        <v>168</v>
      </c>
      <c r="C6" s="47" t="s">
        <v>265</v>
      </c>
      <c r="D6" s="47"/>
      <c r="E6" s="47"/>
    </row>
    <row r="7" ht="49.5" customHeight="1">
      <c r="A7" s="96" t="s">
        <v>266</v>
      </c>
      <c r="B7" s="98">
        <v>3916000.0</v>
      </c>
      <c r="C7" s="95" t="s">
        <v>267</v>
      </c>
    </row>
    <row r="8" ht="36.0" customHeight="1">
      <c r="A8" s="96" t="s">
        <v>268</v>
      </c>
      <c r="B8" s="99">
        <f>'Sources and basis'!B89</f>
        <v>0.05</v>
      </c>
      <c r="C8" s="95" t="s">
        <v>269</v>
      </c>
    </row>
    <row r="9" ht="49.5" customHeight="1">
      <c r="A9" s="96" t="s">
        <v>270</v>
      </c>
      <c r="B9" s="100">
        <v>0.042</v>
      </c>
      <c r="C9" s="95" t="s">
        <v>271</v>
      </c>
    </row>
    <row r="10" ht="24.0" customHeight="1">
      <c r="A10" s="96"/>
      <c r="B10" s="101"/>
      <c r="C10" s="96"/>
      <c r="D10" s="96"/>
      <c r="E10" s="96"/>
    </row>
    <row r="11" ht="49.5" customHeight="1">
      <c r="A11" s="102" t="s">
        <v>272</v>
      </c>
      <c r="B11" s="102" t="s">
        <v>273</v>
      </c>
      <c r="C11" s="102" t="s">
        <v>274</v>
      </c>
      <c r="D11" s="102" t="s">
        <v>275</v>
      </c>
      <c r="E11" s="102" t="s">
        <v>6</v>
      </c>
    </row>
    <row r="12" ht="66.0" customHeight="1">
      <c r="A12" s="96" t="s">
        <v>276</v>
      </c>
      <c r="B12" s="101">
        <f>'Historical base'!F12</f>
        <v>367091</v>
      </c>
      <c r="C12" s="103">
        <f t="shared" ref="C12:C14" si="1">B12/SUM($B$12:$B$14)</f>
        <v>0.8226774089</v>
      </c>
      <c r="D12" s="104">
        <v>1.01</v>
      </c>
      <c r="E12" s="96" t="s">
        <v>277</v>
      </c>
    </row>
    <row r="13" ht="66.0" customHeight="1">
      <c r="A13" s="96" t="s">
        <v>278</v>
      </c>
      <c r="B13" s="101">
        <f>'Historical base'!F13</f>
        <v>77617</v>
      </c>
      <c r="C13" s="103">
        <f t="shared" si="1"/>
        <v>0.1739452954</v>
      </c>
      <c r="D13" s="104">
        <v>1.25</v>
      </c>
      <c r="E13" s="96" t="s">
        <v>279</v>
      </c>
    </row>
    <row r="14" ht="66.0" customHeight="1">
      <c r="A14" s="96" t="s">
        <v>280</v>
      </c>
      <c r="B14" s="101">
        <f>'Historical base'!F14</f>
        <v>1507</v>
      </c>
      <c r="C14" s="103">
        <f t="shared" si="1"/>
        <v>0.003377295698</v>
      </c>
      <c r="D14" s="104">
        <v>1.59</v>
      </c>
      <c r="E14" s="96" t="s">
        <v>281</v>
      </c>
    </row>
    <row r="15" ht="49.5" customHeight="1">
      <c r="A15" s="105" t="s">
        <v>282</v>
      </c>
      <c r="B15" s="106">
        <f>SUMPRODUCT(C12:C14,D12:D14)</f>
        <v>1.053705702</v>
      </c>
      <c r="C15" s="105" t="s">
        <v>283</v>
      </c>
    </row>
    <row r="16" ht="49.5" customHeight="1">
      <c r="A16" s="96" t="s">
        <v>284</v>
      </c>
      <c r="B16" s="104">
        <f>B15*(1+(1-Assumptions!$B$5)*(B22+B23)/B7)</f>
        <v>1.075850485</v>
      </c>
      <c r="C16" s="96" t="s">
        <v>285</v>
      </c>
    </row>
    <row r="17" ht="36.0" customHeight="1">
      <c r="A17" s="105" t="s">
        <v>286</v>
      </c>
      <c r="B17" s="107">
        <f>B8+B16*B9</f>
        <v>0.09518572036</v>
      </c>
      <c r="C17" s="105" t="s">
        <v>287</v>
      </c>
    </row>
    <row r="18" ht="24.0" customHeight="1">
      <c r="A18" s="96"/>
      <c r="B18" s="101"/>
      <c r="C18" s="96"/>
      <c r="D18" s="96"/>
      <c r="E18" s="96"/>
    </row>
    <row r="19" ht="31.5" customHeight="1">
      <c r="A19" s="47" t="s">
        <v>288</v>
      </c>
      <c r="B19" s="47" t="s">
        <v>85</v>
      </c>
      <c r="C19" s="47" t="s">
        <v>6</v>
      </c>
      <c r="D19" s="47"/>
      <c r="E19" s="47"/>
    </row>
    <row r="20" ht="36.0" customHeight="1">
      <c r="A20" s="96" t="s">
        <v>289</v>
      </c>
      <c r="B20" s="101">
        <v>94900.0</v>
      </c>
      <c r="C20" s="95" t="s">
        <v>290</v>
      </c>
    </row>
    <row r="21" ht="36.0" customHeight="1">
      <c r="A21" s="96" t="s">
        <v>291</v>
      </c>
      <c r="B21" s="101">
        <f>1686+'Financial assets'!B70</f>
        <v>6686</v>
      </c>
      <c r="C21" s="95" t="s">
        <v>292</v>
      </c>
    </row>
    <row r="22" ht="36.0" customHeight="1">
      <c r="A22" s="105" t="s">
        <v>293</v>
      </c>
      <c r="B22" s="108">
        <f>SUM(B20:B21)</f>
        <v>101586</v>
      </c>
      <c r="C22" s="105" t="s">
        <v>294</v>
      </c>
    </row>
    <row r="23" ht="36.0" customHeight="1">
      <c r="A23" s="96" t="s">
        <v>295</v>
      </c>
      <c r="B23" s="101">
        <f>'Sources and basis'!B55</f>
        <v>2590</v>
      </c>
      <c r="C23" s="96" t="s">
        <v>296</v>
      </c>
    </row>
    <row r="24" ht="24.0" customHeight="1">
      <c r="A24" s="96"/>
      <c r="B24" s="101"/>
      <c r="C24" s="96"/>
      <c r="D24" s="96"/>
      <c r="E24" s="96"/>
    </row>
    <row r="25" ht="31.5" customHeight="1">
      <c r="A25" s="47" t="s">
        <v>297</v>
      </c>
      <c r="B25" s="47" t="s">
        <v>168</v>
      </c>
      <c r="C25" s="47" t="s">
        <v>6</v>
      </c>
      <c r="D25" s="47"/>
      <c r="E25" s="47"/>
    </row>
    <row r="26" ht="36.0" customHeight="1">
      <c r="A26" s="96" t="s">
        <v>298</v>
      </c>
      <c r="B26" s="101">
        <f>'Historical base'!E24</f>
        <v>80466</v>
      </c>
      <c r="C26" s="96" t="s">
        <v>299</v>
      </c>
    </row>
    <row r="27" ht="36.0" customHeight="1">
      <c r="A27" s="96" t="s">
        <v>300</v>
      </c>
      <c r="B27" s="101">
        <f>1811+628</f>
        <v>2439</v>
      </c>
      <c r="C27" s="96" t="s">
        <v>301</v>
      </c>
    </row>
    <row r="28" ht="36.0" customHeight="1">
      <c r="A28" s="96" t="s">
        <v>302</v>
      </c>
      <c r="B28" s="104">
        <f>B26/B27</f>
        <v>32.99138991</v>
      </c>
      <c r="C28" s="96" t="s">
        <v>303</v>
      </c>
    </row>
    <row r="29" ht="49.5" customHeight="1">
      <c r="A29" s="96" t="s">
        <v>304</v>
      </c>
      <c r="B29" s="99">
        <v>0.004</v>
      </c>
      <c r="C29" s="95" t="s">
        <v>305</v>
      </c>
    </row>
    <row r="30" ht="36.0" customHeight="1">
      <c r="A30" s="105" t="s">
        <v>306</v>
      </c>
      <c r="B30" s="107">
        <f>B8+B29</f>
        <v>0.054</v>
      </c>
      <c r="C30" s="105" t="s">
        <v>307</v>
      </c>
    </row>
    <row r="31" ht="24.0" customHeight="1">
      <c r="A31" s="96"/>
      <c r="B31" s="101"/>
      <c r="C31" s="96"/>
      <c r="D31" s="96"/>
      <c r="E31" s="96"/>
    </row>
    <row r="32" ht="31.5" customHeight="1">
      <c r="A32" s="47" t="s">
        <v>308</v>
      </c>
      <c r="B32" s="47" t="s">
        <v>168</v>
      </c>
      <c r="C32" s="47" t="s">
        <v>6</v>
      </c>
      <c r="D32" s="47"/>
      <c r="E32" s="47"/>
    </row>
    <row r="33" ht="36.0" customHeight="1">
      <c r="A33" s="96" t="s">
        <v>309</v>
      </c>
      <c r="B33" s="101">
        <v>385.0</v>
      </c>
      <c r="C33" s="96" t="s">
        <v>310</v>
      </c>
    </row>
    <row r="34" ht="36.0" customHeight="1">
      <c r="A34" s="96" t="s">
        <v>311</v>
      </c>
      <c r="B34" s="109">
        <v>46.32</v>
      </c>
      <c r="C34" s="95" t="s">
        <v>312</v>
      </c>
    </row>
    <row r="35" ht="36.0" customHeight="1">
      <c r="A35" s="96" t="s">
        <v>313</v>
      </c>
      <c r="B35" s="109">
        <v>46.17</v>
      </c>
      <c r="C35" s="95" t="s">
        <v>314</v>
      </c>
    </row>
    <row r="36" ht="36.0" customHeight="1">
      <c r="A36" s="105" t="s">
        <v>21</v>
      </c>
      <c r="B36" s="108">
        <f>B33/2*(B34+B35)</f>
        <v>17804.325</v>
      </c>
      <c r="C36" s="105" t="s">
        <v>315</v>
      </c>
    </row>
    <row r="37" ht="49.5" customHeight="1">
      <c r="A37" s="96" t="s">
        <v>316</v>
      </c>
      <c r="B37" s="99">
        <f>B17</f>
        <v>0.09518572036</v>
      </c>
      <c r="C37" s="96" t="s">
        <v>317</v>
      </c>
    </row>
    <row r="38" ht="49.5" customHeight="1">
      <c r="A38" s="96" t="s">
        <v>318</v>
      </c>
      <c r="B38" s="99">
        <f>B36/(B7+B22+B23+B36)*(B37-B30)</f>
        <v>0.0001815967121</v>
      </c>
      <c r="C38" s="96" t="s">
        <v>319</v>
      </c>
    </row>
    <row r="39" ht="24.0" customHeight="1">
      <c r="A39" s="96"/>
      <c r="B39" s="101"/>
      <c r="C39" s="96"/>
      <c r="D39" s="96"/>
      <c r="E39" s="96"/>
    </row>
    <row r="40" ht="31.5" customHeight="1">
      <c r="A40" s="47" t="s">
        <v>320</v>
      </c>
      <c r="B40" s="47" t="s">
        <v>168</v>
      </c>
      <c r="C40" s="47" t="s">
        <v>6</v>
      </c>
      <c r="D40" s="47"/>
      <c r="E40" s="47"/>
    </row>
    <row r="41" ht="36.0" customHeight="1">
      <c r="A41" s="96" t="s">
        <v>44</v>
      </c>
      <c r="B41" s="101">
        <f>SUM(B7,B22:B23,B36)</f>
        <v>4037980.325</v>
      </c>
      <c r="C41" s="96" t="s">
        <v>321</v>
      </c>
    </row>
    <row r="42" ht="36.0" customHeight="1">
      <c r="A42" s="96" t="s">
        <v>322</v>
      </c>
      <c r="B42" s="99">
        <f>B7/B41</f>
        <v>0.9697917486</v>
      </c>
      <c r="C42" s="96"/>
    </row>
    <row r="43" ht="36.0" customHeight="1">
      <c r="A43" s="96" t="s">
        <v>323</v>
      </c>
      <c r="B43" s="99">
        <f>SUM(B22:B23)/B41</f>
        <v>0.02579903606</v>
      </c>
      <c r="C43" s="96"/>
    </row>
    <row r="44" ht="36.0" customHeight="1">
      <c r="A44" s="96" t="s">
        <v>324</v>
      </c>
      <c r="B44" s="99">
        <f>B36/B41</f>
        <v>0.004409215392</v>
      </c>
      <c r="C44" s="96"/>
    </row>
    <row r="45" ht="36.0" customHeight="1">
      <c r="A45" s="105" t="s">
        <v>325</v>
      </c>
      <c r="B45" s="107">
        <f>B42*B17+B43*B30*(1-Assumptions!B5)+B44*B37</f>
        <v>0.09383060741</v>
      </c>
      <c r="C45" s="105" t="s">
        <v>326</v>
      </c>
    </row>
    <row r="46" ht="24.0" customHeight="1">
      <c r="A46" s="96"/>
      <c r="B46" s="101"/>
      <c r="C46" s="96"/>
      <c r="D46" s="96"/>
      <c r="E46" s="96"/>
    </row>
    <row r="47" ht="24.0" customHeight="1">
      <c r="A47" s="96"/>
      <c r="B47" s="101"/>
      <c r="C47" s="96"/>
      <c r="D47" s="96"/>
      <c r="E47" s="96"/>
    </row>
    <row r="48" ht="31.5" customHeight="1">
      <c r="A48" s="47" t="s">
        <v>327</v>
      </c>
      <c r="B48" s="47" t="s">
        <v>168</v>
      </c>
      <c r="C48" s="47" t="s">
        <v>6</v>
      </c>
      <c r="D48" s="47"/>
      <c r="E48" s="47"/>
    </row>
    <row r="49" ht="36.0" customHeight="1">
      <c r="A49" s="96" t="s">
        <v>328</v>
      </c>
      <c r="B49" s="101">
        <f>'Sources and basis'!B54</f>
        <v>7100</v>
      </c>
      <c r="C49" s="96" t="s">
        <v>329</v>
      </c>
    </row>
    <row r="50" ht="36.0" customHeight="1">
      <c r="A50" s="96" t="s">
        <v>330</v>
      </c>
      <c r="B50" s="110">
        <f>B49</f>
        <v>7100</v>
      </c>
      <c r="C50" s="111" t="s">
        <v>331</v>
      </c>
    </row>
    <row r="51" ht="24.0" customHeight="1">
      <c r="A51" s="96"/>
      <c r="B51" s="96"/>
      <c r="C51" s="96"/>
      <c r="D51" s="96"/>
      <c r="E51" s="96"/>
    </row>
    <row r="52" ht="24.0" customHeight="1">
      <c r="A52" s="96"/>
      <c r="B52" s="96"/>
      <c r="C52" s="96"/>
      <c r="D52" s="96"/>
      <c r="E52" s="96"/>
    </row>
    <row r="53" ht="41.25" customHeight="1">
      <c r="A53" s="95" t="s">
        <v>332</v>
      </c>
    </row>
    <row r="54" ht="41.25" customHeight="1">
      <c r="A54" s="95" t="s">
        <v>333</v>
      </c>
    </row>
    <row r="55" ht="41.25" customHeight="1">
      <c r="A55" s="96" t="s">
        <v>334</v>
      </c>
    </row>
  </sheetData>
  <mergeCells count="33">
    <mergeCell ref="A1:E1"/>
    <mergeCell ref="A2:E2"/>
    <mergeCell ref="C7:E7"/>
    <mergeCell ref="C8:E8"/>
    <mergeCell ref="C9:E9"/>
    <mergeCell ref="C15:E15"/>
    <mergeCell ref="C16:E16"/>
    <mergeCell ref="C17:E17"/>
    <mergeCell ref="C20:E20"/>
    <mergeCell ref="C21:E21"/>
    <mergeCell ref="C22:E22"/>
    <mergeCell ref="C23:E23"/>
    <mergeCell ref="C26:E26"/>
    <mergeCell ref="C27:E27"/>
    <mergeCell ref="C28:E28"/>
    <mergeCell ref="C29:E29"/>
    <mergeCell ref="C30:E30"/>
    <mergeCell ref="C33:E33"/>
    <mergeCell ref="C34:E34"/>
    <mergeCell ref="C35:E35"/>
    <mergeCell ref="C36:E36"/>
    <mergeCell ref="C49:E49"/>
    <mergeCell ref="C50:E50"/>
    <mergeCell ref="A53:E53"/>
    <mergeCell ref="A54:E54"/>
    <mergeCell ref="A55:E55"/>
    <mergeCell ref="C37:E37"/>
    <mergeCell ref="C38:E38"/>
    <mergeCell ref="C41:E41"/>
    <mergeCell ref="C42:E42"/>
    <mergeCell ref="C43:E43"/>
    <mergeCell ref="C44:E44"/>
    <mergeCell ref="C45:E4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11" width="14.88"/>
    <col customWidth="1" min="12" max="16" width="13.88"/>
  </cols>
  <sheetData>
    <row r="1" ht="31.5" customHeight="1">
      <c r="A1" s="1" t="s">
        <v>335</v>
      </c>
    </row>
    <row r="2" ht="31.5" customHeight="1">
      <c r="A2" s="55" t="s">
        <v>336</v>
      </c>
    </row>
    <row r="3" ht="19.5" customHeight="1">
      <c r="A3" s="3" t="s">
        <v>263</v>
      </c>
      <c r="B3" s="4" t="str">
        <f>Assumptions!B3</f>
        <v>Base</v>
      </c>
      <c r="C3" s="3"/>
      <c r="D3" s="3"/>
      <c r="E3" s="3"/>
      <c r="F3" s="3"/>
      <c r="G3" s="3"/>
      <c r="H3" s="3"/>
      <c r="I3" s="3"/>
      <c r="J3" s="3"/>
      <c r="K3" s="3"/>
    </row>
    <row r="4" ht="19.5" customHeight="1">
      <c r="A4" s="3"/>
      <c r="B4" s="3"/>
      <c r="C4" s="3"/>
      <c r="D4" s="3"/>
      <c r="E4" s="3"/>
      <c r="F4" s="3"/>
      <c r="G4" s="3"/>
      <c r="H4" s="3"/>
      <c r="I4" s="3"/>
      <c r="J4" s="3"/>
      <c r="K4" s="3"/>
      <c r="L4" s="112" t="s">
        <v>337</v>
      </c>
    </row>
    <row r="5" ht="19.5" customHeight="1">
      <c r="A5" s="3"/>
      <c r="B5" s="3"/>
      <c r="C5" s="3"/>
      <c r="D5" s="3"/>
      <c r="E5" s="3"/>
      <c r="F5" s="3"/>
      <c r="G5" s="3"/>
      <c r="H5" s="3"/>
      <c r="I5" s="3"/>
      <c r="J5" s="3"/>
      <c r="K5" s="3"/>
    </row>
    <row r="6" ht="19.5" customHeight="1">
      <c r="A6" s="6" t="s">
        <v>338</v>
      </c>
      <c r="B6" s="6" t="s">
        <v>339</v>
      </c>
      <c r="C6" s="6" t="s">
        <v>340</v>
      </c>
      <c r="D6" s="6" t="s">
        <v>341</v>
      </c>
      <c r="E6" s="6" t="s">
        <v>342</v>
      </c>
      <c r="F6" s="6" t="s">
        <v>343</v>
      </c>
      <c r="G6" s="6" t="s">
        <v>344</v>
      </c>
      <c r="H6" s="6" t="s">
        <v>345</v>
      </c>
      <c r="I6" s="6" t="s">
        <v>346</v>
      </c>
      <c r="J6" s="6" t="s">
        <v>347</v>
      </c>
      <c r="K6" s="6" t="s">
        <v>348</v>
      </c>
      <c r="L6" s="113" t="s">
        <v>349</v>
      </c>
      <c r="M6" s="113" t="s">
        <v>350</v>
      </c>
      <c r="N6" s="113" t="s">
        <v>351</v>
      </c>
      <c r="O6" s="113" t="s">
        <v>352</v>
      </c>
      <c r="P6" s="113" t="s">
        <v>353</v>
      </c>
    </row>
    <row r="7" ht="19.5" customHeight="1">
      <c r="A7" s="3"/>
      <c r="B7" s="3"/>
      <c r="C7" s="3"/>
      <c r="D7" s="3"/>
      <c r="E7" s="3"/>
      <c r="F7" s="3"/>
      <c r="G7" s="3"/>
      <c r="H7" s="3"/>
      <c r="I7" s="3"/>
      <c r="J7" s="3"/>
      <c r="K7" s="3"/>
      <c r="L7" s="3"/>
      <c r="M7" s="3"/>
      <c r="N7" s="3"/>
      <c r="O7" s="3"/>
      <c r="P7" s="3"/>
    </row>
    <row r="8" ht="19.5" customHeight="1">
      <c r="A8" s="3" t="s">
        <v>354</v>
      </c>
      <c r="B8" s="4">
        <f>'Historical base'!C8</f>
        <v>224532</v>
      </c>
      <c r="C8" s="4">
        <f>'Historical base'!E8</f>
        <v>123670</v>
      </c>
      <c r="D8" s="4">
        <f>'Historical base'!F8</f>
        <v>243310</v>
      </c>
      <c r="E8" s="4">
        <f>('Historical base'!C8-'Historical base'!D8)*(1+Assumptions!B7)</f>
        <v>141058.2199</v>
      </c>
      <c r="F8" s="21">
        <f t="shared" ref="F8:F16" si="1">C8+E8</f>
        <v>264728.2199</v>
      </c>
      <c r="G8" s="4">
        <f>F8*(1+Assumptions!C7)</f>
        <v>304437.4529</v>
      </c>
      <c r="H8" s="4">
        <f>G8*(1+Assumptions!D7)</f>
        <v>344014.3217</v>
      </c>
      <c r="I8" s="4">
        <f>H8*(1+Assumptions!E7)</f>
        <v>381855.8971</v>
      </c>
      <c r="J8" s="4">
        <f>I8*(1+Assumptions!F7)</f>
        <v>416222.9279</v>
      </c>
      <c r="K8" s="4">
        <f>J8*(1+Assumptions!G7)</f>
        <v>449520.7621</v>
      </c>
      <c r="L8" s="114" t="s">
        <v>355</v>
      </c>
      <c r="M8" s="114" t="s">
        <v>355</v>
      </c>
      <c r="N8" s="114" t="s">
        <v>355</v>
      </c>
      <c r="O8" s="114" t="s">
        <v>355</v>
      </c>
      <c r="P8" s="114" t="s">
        <v>355</v>
      </c>
    </row>
    <row r="9" ht="19.5" customHeight="1">
      <c r="A9" s="3" t="s">
        <v>356</v>
      </c>
      <c r="B9" s="4">
        <f>'Historical base'!C9</f>
        <v>40367</v>
      </c>
      <c r="C9" s="4">
        <f>'Historical base'!E9</f>
        <v>20938</v>
      </c>
      <c r="D9" s="4">
        <f>'Historical base'!F9</f>
        <v>42582</v>
      </c>
      <c r="E9" s="4">
        <f>('Historical base'!C9-'Historical base'!D9)*(1+Assumptions!B12)</f>
        <v>24204.56508</v>
      </c>
      <c r="F9" s="21">
        <f t="shared" si="1"/>
        <v>45142.56508</v>
      </c>
      <c r="G9" s="4">
        <f>F9*(1+Assumptions!C12)</f>
        <v>50559.67289</v>
      </c>
      <c r="H9" s="4">
        <f>G9*(1+Assumptions!D12)</f>
        <v>56121.23691</v>
      </c>
      <c r="I9" s="4">
        <f>H9*(1+Assumptions!E12)</f>
        <v>61733.3606</v>
      </c>
      <c r="J9" s="4">
        <f>I9*(1+Assumptions!F12)</f>
        <v>67289.36305</v>
      </c>
      <c r="K9" s="4">
        <f>J9*(1+Assumptions!G12)</f>
        <v>72672.5121</v>
      </c>
      <c r="L9" s="114" t="s">
        <v>355</v>
      </c>
      <c r="M9" s="114" t="s">
        <v>355</v>
      </c>
      <c r="N9" s="114" t="s">
        <v>355</v>
      </c>
      <c r="O9" s="114" t="s">
        <v>355</v>
      </c>
      <c r="P9" s="114" t="s">
        <v>355</v>
      </c>
    </row>
    <row r="10" ht="19.5" customHeight="1">
      <c r="A10" s="3" t="s">
        <v>357</v>
      </c>
      <c r="B10" s="4">
        <f>'Historical base'!C10</f>
        <v>29792</v>
      </c>
      <c r="C10" s="4">
        <f>'Historical base'!E10</f>
        <v>14274</v>
      </c>
      <c r="D10" s="4">
        <f>'Historical base'!F10</f>
        <v>29456</v>
      </c>
      <c r="E10" s="4">
        <f>('Historical base'!C10-'Historical base'!D10)*(1+Assumptions!B17)</f>
        <v>14832.84517</v>
      </c>
      <c r="F10" s="21">
        <f t="shared" si="1"/>
        <v>29106.84517</v>
      </c>
      <c r="G10" s="4">
        <f>F10*(1+Assumptions!C17)</f>
        <v>28233.63982</v>
      </c>
      <c r="H10" s="4">
        <f>G10*(1+Assumptions!D17)</f>
        <v>27386.63062</v>
      </c>
      <c r="I10" s="4">
        <f>H10*(1+Assumptions!E17)</f>
        <v>26838.89801</v>
      </c>
      <c r="J10" s="4">
        <f>I10*(1+Assumptions!F17)</f>
        <v>26302.12005</v>
      </c>
      <c r="K10" s="4">
        <f>J10*(1+Assumptions!G17)</f>
        <v>25776.07765</v>
      </c>
      <c r="L10" s="114" t="s">
        <v>355</v>
      </c>
      <c r="M10" s="114" t="s">
        <v>355</v>
      </c>
      <c r="N10" s="114" t="s">
        <v>355</v>
      </c>
      <c r="O10" s="114" t="s">
        <v>355</v>
      </c>
      <c r="P10" s="114" t="s">
        <v>355</v>
      </c>
    </row>
    <row r="11" ht="19.5" customHeight="1">
      <c r="A11" s="3" t="s">
        <v>358</v>
      </c>
      <c r="B11" s="4">
        <f>'Historical base'!C11</f>
        <v>48030</v>
      </c>
      <c r="C11" s="4">
        <f>'Historical base'!E11</f>
        <v>25295</v>
      </c>
      <c r="D11" s="4">
        <f>'Historical base'!F11</f>
        <v>51743</v>
      </c>
      <c r="E11" s="4">
        <f>('Historical base'!C11-'Historical base'!D11)*(1+Assumptions!B22)</f>
        <v>30998.15402</v>
      </c>
      <c r="F11" s="21">
        <f t="shared" si="1"/>
        <v>56293.15402</v>
      </c>
      <c r="G11" s="4">
        <f>F11*(1+Assumptions!C22)</f>
        <v>64737.12712</v>
      </c>
      <c r="H11" s="4">
        <f>G11*(1+Assumptions!D22)</f>
        <v>73152.95365</v>
      </c>
      <c r="I11" s="4">
        <f>H11*(1+Assumptions!E22)</f>
        <v>81931.30808</v>
      </c>
      <c r="J11" s="4">
        <f>I11*(1+Assumptions!F22)</f>
        <v>90124.43889</v>
      </c>
      <c r="K11" s="4">
        <f>J11*(1+Assumptions!G22)</f>
        <v>98235.63839</v>
      </c>
      <c r="L11" s="114" t="s">
        <v>355</v>
      </c>
      <c r="M11" s="114" t="s">
        <v>355</v>
      </c>
      <c r="N11" s="114" t="s">
        <v>355</v>
      </c>
      <c r="O11" s="114" t="s">
        <v>355</v>
      </c>
      <c r="P11" s="114" t="s">
        <v>355</v>
      </c>
    </row>
    <row r="12" ht="19.5" customHeight="1">
      <c r="A12" s="3" t="s">
        <v>276</v>
      </c>
      <c r="B12" s="4">
        <f>'Historical base'!C12</f>
        <v>342721</v>
      </c>
      <c r="C12" s="4">
        <f>'Historical base'!E12</f>
        <v>184177</v>
      </c>
      <c r="D12" s="4">
        <f>'Historical base'!F12</f>
        <v>367091</v>
      </c>
      <c r="E12" s="21">
        <f>SUM(E8:E11)</f>
        <v>211093.7842</v>
      </c>
      <c r="F12" s="21">
        <f t="shared" si="1"/>
        <v>395270.7842</v>
      </c>
      <c r="G12" s="21">
        <f t="shared" ref="G12:K12" si="2">SUM(G8:G11)</f>
        <v>447967.8927</v>
      </c>
      <c r="H12" s="21">
        <f t="shared" si="2"/>
        <v>500675.1429</v>
      </c>
      <c r="I12" s="21">
        <f t="shared" si="2"/>
        <v>552359.4638</v>
      </c>
      <c r="J12" s="21">
        <f t="shared" si="2"/>
        <v>599938.8499</v>
      </c>
      <c r="K12" s="21">
        <f t="shared" si="2"/>
        <v>646204.9902</v>
      </c>
      <c r="L12" s="114" t="s">
        <v>355</v>
      </c>
      <c r="M12" s="114" t="s">
        <v>355</v>
      </c>
      <c r="N12" s="114" t="s">
        <v>355</v>
      </c>
      <c r="O12" s="114" t="s">
        <v>355</v>
      </c>
      <c r="P12" s="114" t="s">
        <v>355</v>
      </c>
    </row>
    <row r="13" ht="19.5" customHeight="1">
      <c r="A13" s="3" t="s">
        <v>278</v>
      </c>
      <c r="B13" s="4">
        <f>'Historical base'!C13</f>
        <v>58705</v>
      </c>
      <c r="C13" s="4">
        <f>'Historical base'!E13</f>
        <v>44796</v>
      </c>
      <c r="D13" s="4">
        <f>'Historical base'!F13</f>
        <v>77617</v>
      </c>
      <c r="E13" s="4">
        <f>'Cloud demand'!B28</f>
        <v>59763.54706</v>
      </c>
      <c r="F13" s="21">
        <f t="shared" si="1"/>
        <v>104559.5471</v>
      </c>
      <c r="G13" s="4">
        <f>'Cloud demand'!C28</f>
        <v>155893.9834</v>
      </c>
      <c r="H13" s="4">
        <f>'Cloud demand'!D28</f>
        <v>195122.5792</v>
      </c>
      <c r="I13" s="4">
        <f>'Cloud demand'!E28</f>
        <v>233232.9486</v>
      </c>
      <c r="J13" s="4">
        <f>'Cloud demand'!F28</f>
        <v>269641.5861</v>
      </c>
      <c r="K13" s="4">
        <f>'Cloud demand'!G28</f>
        <v>301344.0321</v>
      </c>
      <c r="L13" s="114" t="s">
        <v>355</v>
      </c>
      <c r="M13" s="114" t="s">
        <v>355</v>
      </c>
      <c r="N13" s="114" t="s">
        <v>355</v>
      </c>
      <c r="O13" s="114" t="s">
        <v>355</v>
      </c>
      <c r="P13" s="114" t="s">
        <v>355</v>
      </c>
    </row>
    <row r="14" ht="19.5" customHeight="1">
      <c r="A14" s="3" t="s">
        <v>280</v>
      </c>
      <c r="B14" s="4">
        <f>'Historical base'!C14</f>
        <v>1537</v>
      </c>
      <c r="C14" s="4">
        <f>'Historical base'!E14</f>
        <v>793</v>
      </c>
      <c r="D14" s="4">
        <f>'Historical base'!F14</f>
        <v>1507</v>
      </c>
      <c r="E14" s="4">
        <f>('Historical base'!C14-'Historical base'!D14)*(1+Assumptions!B32)</f>
        <v>785.4</v>
      </c>
      <c r="F14" s="21">
        <f t="shared" si="1"/>
        <v>1578.4</v>
      </c>
      <c r="G14" s="4">
        <f>F14*(1+Assumptions!C32)</f>
        <v>1736.24</v>
      </c>
      <c r="H14" s="4">
        <f>G14*(1+Assumptions!D32)</f>
        <v>1909.864</v>
      </c>
      <c r="I14" s="4">
        <f>H14*(1+Assumptions!E32)</f>
        <v>2100.8504</v>
      </c>
      <c r="J14" s="4">
        <f>I14*(1+Assumptions!F32)</f>
        <v>2310.93544</v>
      </c>
      <c r="K14" s="4">
        <f>J14*(1+Assumptions!G32)</f>
        <v>2542.028984</v>
      </c>
      <c r="L14" s="114" t="s">
        <v>355</v>
      </c>
      <c r="M14" s="114" t="s">
        <v>355</v>
      </c>
      <c r="N14" s="114" t="s">
        <v>355</v>
      </c>
      <c r="O14" s="114" t="s">
        <v>355</v>
      </c>
      <c r="P14" s="114" t="s">
        <v>355</v>
      </c>
    </row>
    <row r="15" ht="19.5" customHeight="1">
      <c r="A15" s="3" t="s">
        <v>359</v>
      </c>
      <c r="B15" s="4">
        <f>'Historical base'!C15</f>
        <v>-127</v>
      </c>
      <c r="C15" s="4">
        <f>'Historical base'!E15</f>
        <v>-74</v>
      </c>
      <c r="D15" s="4">
        <f>'Historical base'!F15</f>
        <v>-349</v>
      </c>
      <c r="E15" s="21">
        <f>0</f>
        <v>0</v>
      </c>
      <c r="F15" s="21">
        <f t="shared" si="1"/>
        <v>-74</v>
      </c>
      <c r="G15" s="21">
        <f t="shared" ref="G15:K15" si="3">0</f>
        <v>0</v>
      </c>
      <c r="H15" s="21">
        <f t="shared" si="3"/>
        <v>0</v>
      </c>
      <c r="I15" s="21">
        <f t="shared" si="3"/>
        <v>0</v>
      </c>
      <c r="J15" s="21">
        <f t="shared" si="3"/>
        <v>0</v>
      </c>
      <c r="K15" s="21">
        <f t="shared" si="3"/>
        <v>0</v>
      </c>
      <c r="L15" s="114" t="s">
        <v>355</v>
      </c>
      <c r="M15" s="114" t="s">
        <v>355</v>
      </c>
      <c r="N15" s="114" t="s">
        <v>355</v>
      </c>
      <c r="O15" s="114" t="s">
        <v>355</v>
      </c>
      <c r="P15" s="114" t="s">
        <v>355</v>
      </c>
    </row>
    <row r="16" ht="19.5" customHeight="1">
      <c r="A16" s="22" t="s">
        <v>360</v>
      </c>
      <c r="B16" s="115">
        <f>'Historical base'!C16</f>
        <v>402836</v>
      </c>
      <c r="C16" s="115">
        <f>'Historical base'!E16</f>
        <v>229692</v>
      </c>
      <c r="D16" s="115">
        <f>'Historical base'!F16</f>
        <v>445866</v>
      </c>
      <c r="E16" s="116">
        <f>SUM(E12:E15)</f>
        <v>271642.7312</v>
      </c>
      <c r="F16" s="116">
        <f t="shared" si="1"/>
        <v>501334.7312</v>
      </c>
      <c r="G16" s="116">
        <f t="shared" ref="G16:K16" si="4">SUM(G12:G15)</f>
        <v>605598.116</v>
      </c>
      <c r="H16" s="116">
        <f t="shared" si="4"/>
        <v>697707.5861</v>
      </c>
      <c r="I16" s="116">
        <f t="shared" si="4"/>
        <v>787693.2628</v>
      </c>
      <c r="J16" s="116">
        <f t="shared" si="4"/>
        <v>871891.3715</v>
      </c>
      <c r="K16" s="116">
        <f t="shared" si="4"/>
        <v>950091.0513</v>
      </c>
      <c r="L16" s="116">
        <f>Transition!C9</f>
        <v>1023962.307</v>
      </c>
      <c r="M16" s="116">
        <f>Transition!D9</f>
        <v>1091353.181</v>
      </c>
      <c r="N16" s="116">
        <f>Transition!E9</f>
        <v>1150150.796</v>
      </c>
      <c r="O16" s="116">
        <f>Transition!F9</f>
        <v>1198385.752</v>
      </c>
      <c r="P16" s="116">
        <f>Transition!G9</f>
        <v>1234337.324</v>
      </c>
    </row>
    <row r="17" ht="19.5" customHeight="1">
      <c r="A17" s="3"/>
      <c r="B17" s="3"/>
      <c r="C17" s="3"/>
      <c r="D17" s="3"/>
      <c r="E17" s="3"/>
      <c r="F17" s="3"/>
      <c r="G17" s="3"/>
      <c r="H17" s="3"/>
      <c r="I17" s="3"/>
      <c r="J17" s="3"/>
      <c r="K17" s="3"/>
      <c r="L17" s="3"/>
      <c r="M17" s="3"/>
      <c r="N17" s="3"/>
      <c r="O17" s="3"/>
      <c r="P17" s="3"/>
    </row>
    <row r="18" ht="19.5" customHeight="1">
      <c r="A18" s="3"/>
      <c r="B18" s="3"/>
      <c r="C18" s="3"/>
      <c r="D18" s="3"/>
      <c r="E18" s="3"/>
      <c r="F18" s="3"/>
      <c r="G18" s="3"/>
      <c r="H18" s="3"/>
      <c r="I18" s="3"/>
      <c r="J18" s="3"/>
      <c r="K18" s="3"/>
      <c r="L18" s="3"/>
      <c r="M18" s="3"/>
      <c r="N18" s="3"/>
      <c r="O18" s="3"/>
      <c r="P18" s="3"/>
    </row>
    <row r="19" ht="19.5" customHeight="1">
      <c r="A19" s="25" t="s">
        <v>361</v>
      </c>
      <c r="B19" s="25"/>
      <c r="C19" s="25"/>
      <c r="D19" s="25"/>
      <c r="E19" s="25"/>
      <c r="F19" s="25"/>
      <c r="G19" s="25"/>
      <c r="H19" s="25"/>
      <c r="I19" s="25"/>
      <c r="J19" s="25"/>
      <c r="K19" s="25"/>
      <c r="L19" s="25"/>
      <c r="M19" s="25"/>
      <c r="N19" s="25"/>
      <c r="O19" s="25"/>
      <c r="P19" s="25"/>
    </row>
    <row r="20" ht="19.5" customHeight="1">
      <c r="A20" s="3" t="s">
        <v>362</v>
      </c>
      <c r="B20" s="4">
        <f>'Historical base'!C20</f>
        <v>139404</v>
      </c>
      <c r="C20" s="4">
        <f>'Historical base'!E20</f>
        <v>80133</v>
      </c>
      <c r="D20" s="4">
        <f>'Historical base'!F20</f>
        <v>153792</v>
      </c>
      <c r="E20" s="4">
        <f>E12*Assumptions!B37-E48-E50</f>
        <v>92639.36483</v>
      </c>
      <c r="F20" s="21">
        <f t="shared" ref="F20:F26" si="5">C20+E20</f>
        <v>172772.3648</v>
      </c>
      <c r="G20" s="4">
        <f>G12*Assumptions!C37-G48-G50</f>
        <v>196697.7329</v>
      </c>
      <c r="H20" s="4">
        <f>H12*Assumptions!D37-H48-H50</f>
        <v>222595.9163</v>
      </c>
      <c r="I20" s="4">
        <f>I12*Assumptions!E37-I48-I50</f>
        <v>245290.6392</v>
      </c>
      <c r="J20" s="4">
        <f>J12*Assumptions!F37-J48-J50</f>
        <v>265730.668</v>
      </c>
      <c r="K20" s="4">
        <f>K12*Assumptions!G37-K48-K50</f>
        <v>288446.2876</v>
      </c>
      <c r="L20" s="114" t="s">
        <v>355</v>
      </c>
      <c r="M20" s="114" t="s">
        <v>355</v>
      </c>
      <c r="N20" s="114" t="s">
        <v>355</v>
      </c>
      <c r="O20" s="114" t="s">
        <v>355</v>
      </c>
      <c r="P20" s="114" t="s">
        <v>355</v>
      </c>
    </row>
    <row r="21" ht="19.5" customHeight="1">
      <c r="A21" s="3" t="s">
        <v>363</v>
      </c>
      <c r="B21" s="4">
        <f>'Historical base'!C21</f>
        <v>13910</v>
      </c>
      <c r="C21" s="4">
        <f>'Historical base'!E21</f>
        <v>15412</v>
      </c>
      <c r="D21" s="4">
        <f>'Historical base'!F21</f>
        <v>24319</v>
      </c>
      <c r="E21" s="4">
        <f>E13*Assumptions!B42</f>
        <v>20561.56325</v>
      </c>
      <c r="F21" s="21">
        <f t="shared" si="5"/>
        <v>35973.56325</v>
      </c>
      <c r="G21" s="4">
        <f>G13*Assumptions!C42</f>
        <v>54562.89417</v>
      </c>
      <c r="H21" s="4">
        <f>H13*Assumptions!D42</f>
        <v>70244.12849</v>
      </c>
      <c r="I21" s="4">
        <f>I13*Assumptions!E42</f>
        <v>86296.19098</v>
      </c>
      <c r="J21" s="4">
        <f>J13*Assumptions!F42</f>
        <v>102463.8027</v>
      </c>
      <c r="K21" s="4">
        <f>K13*Assumptions!G42</f>
        <v>114510.7322</v>
      </c>
      <c r="L21" s="114" t="s">
        <v>355</v>
      </c>
      <c r="M21" s="114" t="s">
        <v>355</v>
      </c>
      <c r="N21" s="114" t="s">
        <v>355</v>
      </c>
      <c r="O21" s="114" t="s">
        <v>355</v>
      </c>
      <c r="P21" s="114" t="s">
        <v>355</v>
      </c>
    </row>
    <row r="22" ht="19.5" customHeight="1">
      <c r="A22" s="3" t="s">
        <v>364</v>
      </c>
      <c r="B22" s="4">
        <f>'Historical base'!C22</f>
        <v>-7515</v>
      </c>
      <c r="C22" s="4">
        <f>'Historical base'!E22</f>
        <v>-3899</v>
      </c>
      <c r="D22" s="4">
        <f>'Historical base'!F22</f>
        <v>-8942</v>
      </c>
      <c r="E22" s="4">
        <f>('Historical base'!C22-'Historical base'!D22)*(1+Assumptions!B47)</f>
        <v>-5799.45</v>
      </c>
      <c r="F22" s="21">
        <f t="shared" si="5"/>
        <v>-9698.45</v>
      </c>
      <c r="G22" s="4">
        <f>F22*(1+Assumptions!C47)</f>
        <v>-11153.2175</v>
      </c>
      <c r="H22" s="4">
        <f>G22*(1+Assumptions!D47)</f>
        <v>-12491.6036</v>
      </c>
      <c r="I22" s="4">
        <f>H22*(1+Assumptions!E47)</f>
        <v>-13740.76396</v>
      </c>
      <c r="J22" s="4">
        <f>I22*(1+Assumptions!F47)</f>
        <v>-14840.02508</v>
      </c>
      <c r="K22" s="4">
        <f>J22*(1+Assumptions!G47)</f>
        <v>-15582.02633</v>
      </c>
      <c r="L22" s="114" t="s">
        <v>355</v>
      </c>
      <c r="M22" s="114" t="s">
        <v>355</v>
      </c>
      <c r="N22" s="114" t="s">
        <v>355</v>
      </c>
      <c r="O22" s="114" t="s">
        <v>355</v>
      </c>
      <c r="P22" s="114" t="s">
        <v>355</v>
      </c>
    </row>
    <row r="23" ht="19.5" customHeight="1">
      <c r="A23" s="3" t="s">
        <v>365</v>
      </c>
      <c r="B23" s="4">
        <f>'Historical base'!C23</f>
        <v>-16760</v>
      </c>
      <c r="C23" s="4">
        <f>'Historical base'!E23</f>
        <v>-11180</v>
      </c>
      <c r="D23" s="4">
        <f>'Historical base'!F23</f>
        <v>-21541</v>
      </c>
      <c r="E23" s="4">
        <f>-E64</f>
        <v>-12107.69215</v>
      </c>
      <c r="F23" s="21">
        <f t="shared" si="5"/>
        <v>-23287.69215</v>
      </c>
      <c r="G23" s="4">
        <f t="shared" ref="G23:K23" si="6">-G64</f>
        <v>-26561.55602</v>
      </c>
      <c r="H23" s="4">
        <f t="shared" si="6"/>
        <v>-29364.37501</v>
      </c>
      <c r="I23" s="4">
        <f t="shared" si="6"/>
        <v>-32072.83605</v>
      </c>
      <c r="J23" s="4">
        <f t="shared" si="6"/>
        <v>-34570.90843</v>
      </c>
      <c r="K23" s="4">
        <f t="shared" si="6"/>
        <v>-36860.52256</v>
      </c>
      <c r="L23" s="114" t="s">
        <v>355</v>
      </c>
      <c r="M23" s="114" t="s">
        <v>355</v>
      </c>
      <c r="N23" s="114" t="s">
        <v>355</v>
      </c>
      <c r="O23" s="114" t="s">
        <v>355</v>
      </c>
      <c r="P23" s="114" t="s">
        <v>355</v>
      </c>
    </row>
    <row r="24" ht="19.5" customHeight="1">
      <c r="A24" s="22" t="s">
        <v>366</v>
      </c>
      <c r="B24" s="115">
        <f>'Historical base'!C24</f>
        <v>129039</v>
      </c>
      <c r="C24" s="115">
        <f>'Historical base'!E24</f>
        <v>80466</v>
      </c>
      <c r="D24" s="115">
        <f>'Historical base'!F24</f>
        <v>147628</v>
      </c>
      <c r="E24" s="116">
        <f>SUM(E20:E23)</f>
        <v>95293.78592</v>
      </c>
      <c r="F24" s="116">
        <f t="shared" si="5"/>
        <v>175759.7859</v>
      </c>
      <c r="G24" s="116">
        <f t="shared" ref="G24:K24" si="7">SUM(G20:G23)</f>
        <v>213545.8536</v>
      </c>
      <c r="H24" s="116">
        <f t="shared" si="7"/>
        <v>250984.0662</v>
      </c>
      <c r="I24" s="116">
        <f t="shared" si="7"/>
        <v>285773.2302</v>
      </c>
      <c r="J24" s="116">
        <f t="shared" si="7"/>
        <v>318783.5373</v>
      </c>
      <c r="K24" s="116">
        <f t="shared" si="7"/>
        <v>350514.4709</v>
      </c>
      <c r="L24" s="117" t="s">
        <v>355</v>
      </c>
      <c r="M24" s="117" t="s">
        <v>355</v>
      </c>
      <c r="N24" s="117" t="s">
        <v>355</v>
      </c>
      <c r="O24" s="117" t="s">
        <v>355</v>
      </c>
      <c r="P24" s="117" t="s">
        <v>355</v>
      </c>
    </row>
    <row r="25" ht="19.5" customHeight="1">
      <c r="A25" s="3" t="s">
        <v>367</v>
      </c>
      <c r="B25" s="3"/>
      <c r="C25" s="21">
        <f>C30+C31</f>
        <v>14131</v>
      </c>
      <c r="D25" s="3"/>
      <c r="E25" s="4">
        <f>E16*Assumptions!$B$95</f>
        <v>16711.87257</v>
      </c>
      <c r="F25" s="21">
        <f t="shared" si="5"/>
        <v>30842.87257</v>
      </c>
      <c r="G25" s="4">
        <f>G16*Assumptions!$B$95</f>
        <v>37257.31405</v>
      </c>
      <c r="H25" s="4">
        <f>H16*Assumptions!$B$95</f>
        <v>42924.02826</v>
      </c>
      <c r="I25" s="4">
        <f>I16*Assumptions!$B$95</f>
        <v>48460.08349</v>
      </c>
      <c r="J25" s="4">
        <f>J16*Assumptions!$B$95</f>
        <v>53640.07876</v>
      </c>
      <c r="K25" s="4">
        <f>K16*Assumptions!$B$95</f>
        <v>58451.0416</v>
      </c>
      <c r="L25" s="114" t="s">
        <v>355</v>
      </c>
      <c r="M25" s="114" t="s">
        <v>355</v>
      </c>
      <c r="N25" s="114" t="s">
        <v>355</v>
      </c>
      <c r="O25" s="114" t="s">
        <v>355</v>
      </c>
      <c r="P25" s="114" t="s">
        <v>355</v>
      </c>
    </row>
    <row r="26" ht="19.5" customHeight="1">
      <c r="A26" s="22" t="s">
        <v>368</v>
      </c>
      <c r="B26" s="22"/>
      <c r="C26" s="116">
        <f>C24+C25</f>
        <v>94597</v>
      </c>
      <c r="D26" s="22"/>
      <c r="E26" s="116">
        <f>SUM(E24:E25)</f>
        <v>112005.6585</v>
      </c>
      <c r="F26" s="116">
        <f t="shared" si="5"/>
        <v>206602.6585</v>
      </c>
      <c r="G26" s="116">
        <f t="shared" ref="G26:K26" si="8">SUM(G24:G25)</f>
        <v>250803.1676</v>
      </c>
      <c r="H26" s="116">
        <f t="shared" si="8"/>
        <v>293908.0945</v>
      </c>
      <c r="I26" s="116">
        <f t="shared" si="8"/>
        <v>334233.3137</v>
      </c>
      <c r="J26" s="116">
        <f t="shared" si="8"/>
        <v>372423.616</v>
      </c>
      <c r="K26" s="116">
        <f t="shared" si="8"/>
        <v>408965.5125</v>
      </c>
      <c r="L26" s="116">
        <f>Transition!C11+'Capital and FCFF'!H24+'Capital and FCFF'!H25</f>
        <v>440763.3026</v>
      </c>
      <c r="M26" s="116">
        <f>Transition!D11+'Capital and FCFF'!I24+'Capital and FCFF'!I25</f>
        <v>469771.6205</v>
      </c>
      <c r="N26" s="116">
        <f>Transition!E11+'Capital and FCFF'!J24+'Capital and FCFF'!J25</f>
        <v>495080.9809</v>
      </c>
      <c r="O26" s="116">
        <f>Transition!F11+'Capital and FCFF'!K24+'Capital and FCFF'!K25</f>
        <v>515843.6579</v>
      </c>
      <c r="P26" s="116">
        <f>Transition!G11+'Capital and FCFF'!L24+'Capital and FCFF'!L25</f>
        <v>531318.9676</v>
      </c>
    </row>
    <row r="27" ht="19.5" customHeight="1">
      <c r="A27" s="3"/>
      <c r="B27" s="3"/>
      <c r="C27" s="3"/>
      <c r="D27" s="3"/>
      <c r="E27" s="3"/>
      <c r="F27" s="3"/>
      <c r="G27" s="3"/>
      <c r="H27" s="3"/>
      <c r="I27" s="3"/>
      <c r="J27" s="3"/>
      <c r="K27" s="3"/>
      <c r="L27" s="3"/>
      <c r="M27" s="3"/>
      <c r="N27" s="3"/>
      <c r="O27" s="3"/>
      <c r="P27" s="3"/>
    </row>
    <row r="28" ht="19.5" customHeight="1">
      <c r="A28" s="3"/>
      <c r="B28" s="3"/>
      <c r="C28" s="3"/>
      <c r="D28" s="3"/>
      <c r="E28" s="3"/>
      <c r="F28" s="3"/>
      <c r="G28" s="3"/>
      <c r="H28" s="3"/>
      <c r="I28" s="3"/>
      <c r="J28" s="3"/>
      <c r="K28" s="3"/>
      <c r="L28" s="3"/>
      <c r="M28" s="3"/>
      <c r="N28" s="3"/>
      <c r="O28" s="3"/>
      <c r="P28" s="3"/>
    </row>
    <row r="29" ht="19.5" customHeight="1">
      <c r="A29" s="25" t="s">
        <v>369</v>
      </c>
      <c r="B29" s="25"/>
      <c r="C29" s="25"/>
      <c r="D29" s="25"/>
      <c r="E29" s="25"/>
      <c r="F29" s="25"/>
      <c r="G29" s="25"/>
      <c r="H29" s="25"/>
      <c r="I29" s="25"/>
      <c r="J29" s="25"/>
      <c r="K29" s="25"/>
      <c r="L29" s="25"/>
      <c r="M29" s="25"/>
      <c r="N29" s="25"/>
      <c r="O29" s="25"/>
      <c r="P29" s="25"/>
    </row>
    <row r="30" ht="19.5" customHeight="1">
      <c r="A30" s="3" t="s">
        <v>370</v>
      </c>
      <c r="B30" s="3"/>
      <c r="C30" s="4">
        <f>'Historical base'!E39</f>
        <v>13586</v>
      </c>
      <c r="D30" s="3"/>
      <c r="E30" s="4">
        <f>'Capital and FCFF'!B24</f>
        <v>21756.2075</v>
      </c>
      <c r="F30" s="21">
        <f t="shared" ref="F30:F31" si="9">C30+E30</f>
        <v>35342.2075</v>
      </c>
      <c r="G30" s="4">
        <f>'Capital and FCFF'!C24</f>
        <v>59679.30649</v>
      </c>
      <c r="H30" s="4">
        <f>'Capital and FCFF'!D24</f>
        <v>85811.88703</v>
      </c>
      <c r="I30" s="4">
        <f>'Capital and FCFF'!E24</f>
        <v>97481.52193</v>
      </c>
      <c r="J30" s="4">
        <f>'Capital and FCFF'!F24</f>
        <v>110008.9459</v>
      </c>
      <c r="K30" s="4">
        <f>'Capital and FCFF'!G24</f>
        <v>137711.4703</v>
      </c>
      <c r="L30" s="4">
        <f>'Capital and FCFF'!H24</f>
        <v>151371.6401</v>
      </c>
      <c r="M30" s="4">
        <f>'Capital and FCFF'!I24</f>
        <v>158007.128</v>
      </c>
      <c r="N30" s="4">
        <f>'Capital and FCFF'!J24</f>
        <v>162813.3361</v>
      </c>
      <c r="O30" s="4">
        <f>'Capital and FCFF'!K24</f>
        <v>166402.5036</v>
      </c>
      <c r="P30" s="4">
        <f>'Capital and FCFF'!L24</f>
        <v>168915.0983</v>
      </c>
    </row>
    <row r="31" ht="19.5" customHeight="1">
      <c r="A31" s="3" t="s">
        <v>371</v>
      </c>
      <c r="B31" s="3"/>
      <c r="C31" s="4">
        <f>'Sources and basis'!D47</f>
        <v>545</v>
      </c>
      <c r="D31" s="3"/>
      <c r="E31" s="4">
        <f>'Capital and FCFF'!B25</f>
        <v>747</v>
      </c>
      <c r="F31" s="21">
        <f t="shared" si="9"/>
        <v>1292</v>
      </c>
      <c r="G31" s="4">
        <f>'Capital and FCFF'!C25</f>
        <v>1304</v>
      </c>
      <c r="H31" s="4">
        <f>'Capital and FCFF'!D25</f>
        <v>1142</v>
      </c>
      <c r="I31" s="4">
        <f>'Capital and FCFF'!E25</f>
        <v>1096</v>
      </c>
      <c r="J31" s="4">
        <f>'Capital and FCFF'!F25</f>
        <v>1055</v>
      </c>
      <c r="K31" s="4">
        <f>'Capital and FCFF'!G25</f>
        <v>1055</v>
      </c>
      <c r="L31" s="4">
        <f>'Capital and FCFF'!H25</f>
        <v>499</v>
      </c>
      <c r="M31" s="4">
        <f>'Capital and FCFF'!I25</f>
        <v>499</v>
      </c>
      <c r="N31" s="4">
        <f>'Capital and FCFF'!J25</f>
        <v>499</v>
      </c>
      <c r="O31" s="4">
        <f>'Capital and FCFF'!K25</f>
        <v>499</v>
      </c>
      <c r="P31" s="4">
        <f>'Capital and FCFF'!L25</f>
        <v>499</v>
      </c>
    </row>
    <row r="32" ht="19.5" customHeight="1">
      <c r="A32" s="3"/>
      <c r="B32" s="3"/>
      <c r="C32" s="3"/>
      <c r="D32" s="3"/>
      <c r="E32" s="3"/>
      <c r="F32" s="3"/>
      <c r="G32" s="3"/>
      <c r="H32" s="3"/>
      <c r="I32" s="3"/>
      <c r="J32" s="3"/>
      <c r="K32" s="3"/>
      <c r="L32" s="3"/>
      <c r="M32" s="3"/>
      <c r="N32" s="3"/>
      <c r="O32" s="3"/>
      <c r="P32" s="3"/>
    </row>
    <row r="33" ht="19.5" customHeight="1">
      <c r="A33" s="22" t="s">
        <v>372</v>
      </c>
      <c r="B33" s="115">
        <f>'Historical base'!C24</f>
        <v>129039</v>
      </c>
      <c r="C33" s="115">
        <f>'Historical base'!E24</f>
        <v>80466</v>
      </c>
      <c r="D33" s="115">
        <f>'Historical base'!F24</f>
        <v>147628</v>
      </c>
      <c r="E33" s="116">
        <f>E26-E30-E31</f>
        <v>89502.45099</v>
      </c>
      <c r="F33" s="116">
        <f>C33+E33</f>
        <v>169968.451</v>
      </c>
      <c r="G33" s="116">
        <f t="shared" ref="G33:K33" si="10">G26-G30-G31</f>
        <v>189819.8611</v>
      </c>
      <c r="H33" s="116">
        <f t="shared" si="10"/>
        <v>206954.2074</v>
      </c>
      <c r="I33" s="116">
        <f t="shared" si="10"/>
        <v>235655.7917</v>
      </c>
      <c r="J33" s="116">
        <f t="shared" si="10"/>
        <v>261359.6701</v>
      </c>
      <c r="K33" s="116">
        <f t="shared" si="10"/>
        <v>270199.0423</v>
      </c>
      <c r="L33" s="116">
        <f>Transition!C11</f>
        <v>288892.6625</v>
      </c>
      <c r="M33" s="116">
        <f>Transition!D11</f>
        <v>311265.4925</v>
      </c>
      <c r="N33" s="116">
        <f>Transition!E11</f>
        <v>331768.6449</v>
      </c>
      <c r="O33" s="116">
        <f>Transition!F11</f>
        <v>348942.1543</v>
      </c>
      <c r="P33" s="116">
        <f>Transition!G11</f>
        <v>361904.8693</v>
      </c>
    </row>
    <row r="34" ht="19.5" customHeight="1">
      <c r="A34" s="3" t="s">
        <v>373</v>
      </c>
      <c r="B34" s="60">
        <f>'Historical base'!C28</f>
        <v>0.3203263859</v>
      </c>
      <c r="C34" s="60">
        <f>'Historical base'!E28</f>
        <v>0.3503212998</v>
      </c>
      <c r="D34" s="60">
        <f>'Historical base'!F28</f>
        <v>0.331103964</v>
      </c>
      <c r="E34" s="29">
        <f t="shared" ref="E34:K34" si="11">E33/E16</f>
        <v>0.3294859045</v>
      </c>
      <c r="F34" s="29">
        <f t="shared" si="11"/>
        <v>0.3390318692</v>
      </c>
      <c r="G34" s="29">
        <f t="shared" si="11"/>
        <v>0.3134419611</v>
      </c>
      <c r="H34" s="29">
        <f t="shared" si="11"/>
        <v>0.2966202626</v>
      </c>
      <c r="I34" s="29">
        <f t="shared" si="11"/>
        <v>0.2991720291</v>
      </c>
      <c r="J34" s="29">
        <f t="shared" si="11"/>
        <v>0.2997617349</v>
      </c>
      <c r="K34" s="29">
        <f t="shared" si="11"/>
        <v>0.2843927873</v>
      </c>
      <c r="L34" s="29">
        <f>Transition!C10</f>
        <v>0.282132126</v>
      </c>
      <c r="M34" s="29">
        <f>Transition!D10</f>
        <v>0.2852105974</v>
      </c>
      <c r="N34" s="29">
        <f>Transition!E10</f>
        <v>0.2884566494</v>
      </c>
      <c r="O34" s="29">
        <f>Transition!F10</f>
        <v>0.2911768216</v>
      </c>
      <c r="P34" s="29">
        <f>Transition!G10</f>
        <v>0.2931977038</v>
      </c>
    </row>
    <row r="35" ht="19.5" customHeight="1">
      <c r="A35" s="3" t="s">
        <v>374</v>
      </c>
      <c r="B35" s="3"/>
      <c r="C35" s="21">
        <f>C33-C36</f>
        <v>16897.86</v>
      </c>
      <c r="D35" s="3"/>
      <c r="E35" s="4">
        <f>MAX(0,E33+E31*(1-Assumptions!$B$239))*Assumptions!B77</f>
        <v>16244.90118</v>
      </c>
      <c r="F35" s="21">
        <f t="shared" ref="F35:F36" si="12">C35+E35</f>
        <v>33142.76118</v>
      </c>
      <c r="G35" s="4">
        <f>MAX(0,G33+G31*(1-Assumptions!$B$239))*Assumptions!C77</f>
        <v>34402.295</v>
      </c>
      <c r="H35" s="4">
        <f>MAX(0,H33+H31*(1-Assumptions!$B$239))*Assumptions!D77</f>
        <v>37457.31734</v>
      </c>
      <c r="I35" s="4">
        <f>MAX(0,I33+I31*(1-Assumptions!$B$239))*Assumptions!E77</f>
        <v>42615.32251</v>
      </c>
      <c r="J35" s="4">
        <f>MAX(0,J33+J31*(1-Assumptions!$B$239))*Assumptions!F77</f>
        <v>47234.64063</v>
      </c>
      <c r="K35" s="4">
        <f>MAX(0,K33+K31*(1-Assumptions!$B$239))*Assumptions!G77</f>
        <v>48825.72761</v>
      </c>
      <c r="L35" s="4">
        <f>Transition!C11-Transition!C13</f>
        <v>53826.84922</v>
      </c>
      <c r="M35" s="4">
        <f>Transition!D11-Transition!D13</f>
        <v>59858.78257</v>
      </c>
      <c r="N35" s="4">
        <f>Transition!E11-Transition!E13</f>
        <v>65788.99368</v>
      </c>
      <c r="O35" s="4">
        <f>Transition!F11-Transition!F13</f>
        <v>71285.99547</v>
      </c>
      <c r="P35" s="4">
        <f>Transition!G11-Transition!G13</f>
        <v>76104.81255</v>
      </c>
    </row>
    <row r="36" ht="19.5" customHeight="1">
      <c r="A36" s="22" t="s">
        <v>375</v>
      </c>
      <c r="B36" s="115">
        <f>'Historical base'!C30</f>
        <v>101940.81</v>
      </c>
      <c r="C36" s="115">
        <f>'Historical base'!E30</f>
        <v>63568.14</v>
      </c>
      <c r="D36" s="115">
        <f>'Historical base'!F30</f>
        <v>116626.12</v>
      </c>
      <c r="E36" s="116">
        <f>E33-E35</f>
        <v>73257.54982</v>
      </c>
      <c r="F36" s="116">
        <f t="shared" si="12"/>
        <v>136825.6898</v>
      </c>
      <c r="G36" s="116">
        <f t="shared" ref="G36:K36" si="13">G33-G35</f>
        <v>155417.5661</v>
      </c>
      <c r="H36" s="116">
        <f t="shared" si="13"/>
        <v>169496.8901</v>
      </c>
      <c r="I36" s="116">
        <f t="shared" si="13"/>
        <v>193040.4692</v>
      </c>
      <c r="J36" s="116">
        <f t="shared" si="13"/>
        <v>214125.0295</v>
      </c>
      <c r="K36" s="116">
        <f t="shared" si="13"/>
        <v>221373.3146</v>
      </c>
      <c r="L36" s="116">
        <f>Transition!C13</f>
        <v>235065.8132</v>
      </c>
      <c r="M36" s="116">
        <f>Transition!D13</f>
        <v>251406.71</v>
      </c>
      <c r="N36" s="116">
        <f>Transition!E13</f>
        <v>265979.6512</v>
      </c>
      <c r="O36" s="116">
        <f>Transition!F13</f>
        <v>277656.1588</v>
      </c>
      <c r="P36" s="116">
        <f>Transition!G13</f>
        <v>285800.0567</v>
      </c>
    </row>
    <row r="37" ht="19.5" customHeight="1">
      <c r="A37" s="3"/>
      <c r="B37" s="3"/>
      <c r="C37" s="3"/>
      <c r="D37" s="3"/>
      <c r="E37" s="3"/>
      <c r="F37" s="3"/>
      <c r="G37" s="3"/>
      <c r="H37" s="3"/>
      <c r="I37" s="3"/>
      <c r="J37" s="3"/>
      <c r="K37" s="3"/>
      <c r="L37" s="3"/>
      <c r="M37" s="3"/>
      <c r="N37" s="3"/>
      <c r="O37" s="3"/>
      <c r="P37" s="3"/>
    </row>
    <row r="38" ht="19.5" customHeight="1">
      <c r="A38" s="22" t="s">
        <v>376</v>
      </c>
      <c r="B38" s="115">
        <f>'Historical base'!C35</f>
        <v>91447</v>
      </c>
      <c r="C38" s="115">
        <f>'Historical base'!E35</f>
        <v>80598</v>
      </c>
      <c r="D38" s="115">
        <f>'Historical base'!F35</f>
        <v>132402</v>
      </c>
      <c r="E38" s="115">
        <f>'Capital and FCFF'!B12</f>
        <v>119402</v>
      </c>
      <c r="F38" s="116">
        <f>C38+E38</f>
        <v>200000</v>
      </c>
      <c r="G38" s="115">
        <f>'Capital and FCFF'!C12</f>
        <v>212413.9759</v>
      </c>
      <c r="H38" s="115">
        <f>'Capital and FCFF'!D12</f>
        <v>209722.855</v>
      </c>
      <c r="I38" s="115">
        <f>'Capital and FCFF'!E12</f>
        <v>213367.426</v>
      </c>
      <c r="J38" s="115">
        <f>'Capital and FCFF'!F12</f>
        <v>210183.7207</v>
      </c>
      <c r="K38" s="115">
        <f>'Capital and FCFF'!G12</f>
        <v>210118.6171</v>
      </c>
      <c r="L38" s="115">
        <f>'Capital and FCFF'!H12</f>
        <v>202967.1134</v>
      </c>
      <c r="M38" s="115">
        <f>'Capital and FCFF'!I12</f>
        <v>211127.465</v>
      </c>
      <c r="N38" s="115">
        <f>'Capital and FCFF'!J12</f>
        <v>201959.6673</v>
      </c>
      <c r="O38" s="115">
        <f>'Capital and FCFF'!K12</f>
        <v>195589.9997</v>
      </c>
      <c r="P38" s="115">
        <f>'Capital and FCFF'!L12</f>
        <v>185755.0802</v>
      </c>
    </row>
    <row r="39" ht="19.5" customHeight="1">
      <c r="A39" s="3"/>
      <c r="B39" s="3"/>
      <c r="C39" s="3"/>
      <c r="D39" s="3"/>
      <c r="E39" s="3"/>
      <c r="F39" s="3"/>
      <c r="G39" s="3"/>
      <c r="H39" s="3"/>
      <c r="I39" s="3"/>
      <c r="J39" s="3"/>
      <c r="K39" s="3"/>
    </row>
    <row r="40" ht="19.5" customHeight="1">
      <c r="A40" s="25" t="s">
        <v>377</v>
      </c>
      <c r="B40" s="25"/>
      <c r="C40" s="25"/>
      <c r="D40" s="25"/>
      <c r="E40" s="25"/>
      <c r="F40" s="25"/>
      <c r="G40" s="25"/>
      <c r="H40" s="25"/>
      <c r="I40" s="25"/>
      <c r="J40" s="25"/>
      <c r="K40" s="25"/>
    </row>
    <row r="41" ht="34.5" customHeight="1">
      <c r="A41" s="55" t="s">
        <v>378</v>
      </c>
    </row>
    <row r="42" ht="34.5" customHeight="1">
      <c r="A42" s="55" t="s">
        <v>379</v>
      </c>
    </row>
    <row r="43" ht="34.5" customHeight="1">
      <c r="A43" s="55" t="s">
        <v>380</v>
      </c>
    </row>
    <row r="45">
      <c r="A45" s="118" t="s">
        <v>381</v>
      </c>
      <c r="B45" s="118"/>
      <c r="C45" s="118"/>
      <c r="D45" s="118"/>
      <c r="E45" s="118"/>
      <c r="F45" s="118"/>
      <c r="G45" s="118"/>
      <c r="H45" s="118"/>
      <c r="I45" s="118"/>
      <c r="J45" s="118"/>
      <c r="K45" s="118"/>
    </row>
    <row r="46">
      <c r="A46" s="119" t="s">
        <v>382</v>
      </c>
      <c r="B46" s="119"/>
      <c r="C46" s="119"/>
      <c r="D46" s="119"/>
      <c r="E46" s="119">
        <f t="shared" ref="E46:K46" si="14">SUM(E8:E10)</f>
        <v>180095.6301</v>
      </c>
      <c r="F46" s="119">
        <f t="shared" si="14"/>
        <v>338977.6301</v>
      </c>
      <c r="G46" s="119">
        <f t="shared" si="14"/>
        <v>383230.7656</v>
      </c>
      <c r="H46" s="119">
        <f t="shared" si="14"/>
        <v>427522.1893</v>
      </c>
      <c r="I46" s="119">
        <f t="shared" si="14"/>
        <v>470428.1557</v>
      </c>
      <c r="J46" s="119">
        <f t="shared" si="14"/>
        <v>509814.411</v>
      </c>
      <c r="K46" s="119">
        <f t="shared" si="14"/>
        <v>547969.3518</v>
      </c>
      <c r="L46" s="120" t="s">
        <v>355</v>
      </c>
      <c r="M46" s="120" t="s">
        <v>355</v>
      </c>
      <c r="N46" s="120" t="s">
        <v>355</v>
      </c>
      <c r="O46" s="120" t="s">
        <v>355</v>
      </c>
      <c r="P46" s="120" t="s">
        <v>355</v>
      </c>
    </row>
    <row r="47">
      <c r="A47" s="119" t="s">
        <v>383</v>
      </c>
      <c r="B47" s="121"/>
      <c r="C47" s="121"/>
      <c r="D47" s="121"/>
      <c r="E47" s="121">
        <f>Assumptions!B153+E57</f>
        <v>-0.002991727998</v>
      </c>
      <c r="F47" s="121"/>
      <c r="G47" s="121">
        <f>Assumptions!C153+G57</f>
        <v>-0.006467029164</v>
      </c>
      <c r="H47" s="121">
        <f>Assumptions!D153+H57</f>
        <v>-0.01031251597</v>
      </c>
      <c r="I47" s="121">
        <f>Assumptions!E153+I57</f>
        <v>-0.01311527727</v>
      </c>
      <c r="J47" s="121">
        <f>Assumptions!F153+J57</f>
        <v>-0.01529948009</v>
      </c>
      <c r="K47" s="121">
        <f>Assumptions!G153+K57</f>
        <v>-0.01712039599</v>
      </c>
      <c r="L47" s="120" t="s">
        <v>355</v>
      </c>
      <c r="M47" s="120" t="s">
        <v>355</v>
      </c>
      <c r="N47" s="120" t="s">
        <v>355</v>
      </c>
      <c r="O47" s="120" t="s">
        <v>355</v>
      </c>
      <c r="P47" s="120" t="s">
        <v>355</v>
      </c>
    </row>
    <row r="48">
      <c r="A48" s="119" t="s">
        <v>384</v>
      </c>
      <c r="B48" s="119"/>
      <c r="C48" s="119"/>
      <c r="D48" s="119"/>
      <c r="E48" s="119">
        <f>E46*E47</f>
        <v>-538.7971389</v>
      </c>
      <c r="F48" s="119">
        <f>E48</f>
        <v>-538.7971389</v>
      </c>
      <c r="G48" s="119">
        <f t="shared" ref="G48:K48" si="15">G46*G47</f>
        <v>-2478.364537</v>
      </c>
      <c r="H48" s="119">
        <f t="shared" si="15"/>
        <v>-4408.829402</v>
      </c>
      <c r="I48" s="119">
        <f t="shared" si="15"/>
        <v>-6169.7957</v>
      </c>
      <c r="J48" s="119">
        <f t="shared" si="15"/>
        <v>-7799.89543</v>
      </c>
      <c r="K48" s="119">
        <f t="shared" si="15"/>
        <v>-9381.452295</v>
      </c>
      <c r="L48" s="120" t="s">
        <v>355</v>
      </c>
      <c r="M48" s="120" t="s">
        <v>355</v>
      </c>
      <c r="N48" s="120" t="s">
        <v>355</v>
      </c>
      <c r="O48" s="120" t="s">
        <v>355</v>
      </c>
      <c r="P48" s="120" t="s">
        <v>355</v>
      </c>
    </row>
    <row r="49">
      <c r="A49" s="119" t="s">
        <v>385</v>
      </c>
      <c r="B49" s="121"/>
      <c r="C49" s="121"/>
      <c r="D49" s="121"/>
      <c r="E49" s="121">
        <f>Assumptions!$B$217*(E58-1)</f>
        <v>-0.001214756329</v>
      </c>
      <c r="F49" s="121"/>
      <c r="G49" s="121">
        <f>Assumptions!$B$217*(G58-1)</f>
        <v>-0.003556448026</v>
      </c>
      <c r="H49" s="121">
        <f>Assumptions!$B$217*(H58-1)</f>
        <v>-0.00578573852</v>
      </c>
      <c r="I49" s="121">
        <f>Assumptions!$B$217*(I58-1)</f>
        <v>-0.007908023071</v>
      </c>
      <c r="J49" s="121">
        <f>Assumptions!$B$217*(J58-1)</f>
        <v>-0.009928437964</v>
      </c>
      <c r="K49" s="121">
        <f>Assumptions!$B$217*(K58-1)</f>
        <v>-0.01185187294</v>
      </c>
      <c r="L49" s="120" t="s">
        <v>355</v>
      </c>
      <c r="M49" s="120" t="s">
        <v>355</v>
      </c>
      <c r="N49" s="120" t="s">
        <v>355</v>
      </c>
      <c r="O49" s="120" t="s">
        <v>355</v>
      </c>
      <c r="P49" s="120" t="s">
        <v>355</v>
      </c>
    </row>
    <row r="50">
      <c r="A50" s="119" t="s">
        <v>386</v>
      </c>
      <c r="B50" s="119"/>
      <c r="C50" s="119"/>
      <c r="D50" s="119"/>
      <c r="E50" s="119">
        <f>E12*E49</f>
        <v>-256.4275104</v>
      </c>
      <c r="F50" s="119">
        <f>E50</f>
        <v>-256.4275104</v>
      </c>
      <c r="G50" s="119">
        <f t="shared" ref="G50:K50" si="16">G12*G49</f>
        <v>-1593.174528</v>
      </c>
      <c r="H50" s="119">
        <f t="shared" si="16"/>
        <v>-2896.775461</v>
      </c>
      <c r="I50" s="119">
        <f t="shared" si="16"/>
        <v>-4368.071384</v>
      </c>
      <c r="J50" s="119">
        <f t="shared" si="16"/>
        <v>-5956.455653</v>
      </c>
      <c r="K50" s="119">
        <f t="shared" si="16"/>
        <v>-7658.739439</v>
      </c>
      <c r="L50" s="120" t="s">
        <v>355</v>
      </c>
      <c r="M50" s="120" t="s">
        <v>355</v>
      </c>
      <c r="N50" s="120" t="s">
        <v>355</v>
      </c>
      <c r="O50" s="120" t="s">
        <v>355</v>
      </c>
      <c r="P50" s="120" t="s">
        <v>355</v>
      </c>
    </row>
    <row r="52" ht="31.5" customHeight="1">
      <c r="A52" s="122" t="s">
        <v>387</v>
      </c>
    </row>
    <row r="54" ht="21.0" customHeight="1">
      <c r="A54" s="80" t="s">
        <v>388</v>
      </c>
      <c r="B54" s="123"/>
      <c r="C54" s="123"/>
      <c r="D54" s="123"/>
      <c r="E54" s="123"/>
      <c r="F54" s="123"/>
      <c r="G54" s="123"/>
      <c r="H54" s="123"/>
      <c r="I54" s="123"/>
      <c r="J54" s="123"/>
      <c r="K54" s="123"/>
    </row>
    <row r="55" ht="21.0" customHeight="1">
      <c r="A55" s="81" t="s">
        <v>389</v>
      </c>
      <c r="B55" s="87"/>
      <c r="C55" s="87"/>
      <c r="D55" s="87"/>
      <c r="E55" s="87">
        <f>'Historical base'!$E$10/SUM('Historical base'!$E$8:$E$10)</f>
        <v>0.08984025881</v>
      </c>
      <c r="F55" s="87"/>
      <c r="G55" s="87">
        <f>'Historical base'!$E$10/SUM('Historical base'!$E$8:$E$10)</f>
        <v>0.08984025881</v>
      </c>
      <c r="H55" s="87">
        <f>'Historical base'!$E$10/SUM('Historical base'!$E$8:$E$10)</f>
        <v>0.08984025881</v>
      </c>
      <c r="I55" s="87">
        <f>'Historical base'!$E$10/SUM('Historical base'!$E$8:$E$10)</f>
        <v>0.08984025881</v>
      </c>
      <c r="J55" s="87">
        <f>'Historical base'!$E$10/SUM('Historical base'!$E$8:$E$10)</f>
        <v>0.08984025881</v>
      </c>
      <c r="K55" s="87">
        <f>'Historical base'!$E$10/SUM('Historical base'!$E$8:$E$10)</f>
        <v>0.08984025881</v>
      </c>
      <c r="L55" s="120" t="s">
        <v>355</v>
      </c>
      <c r="M55" s="120" t="s">
        <v>355</v>
      </c>
      <c r="N55" s="120" t="s">
        <v>355</v>
      </c>
      <c r="O55" s="120" t="s">
        <v>355</v>
      </c>
      <c r="P55" s="120" t="s">
        <v>355</v>
      </c>
    </row>
    <row r="56" ht="21.0" customHeight="1">
      <c r="A56" s="81" t="s">
        <v>390</v>
      </c>
      <c r="B56" s="87"/>
      <c r="C56" s="87"/>
      <c r="D56" s="87"/>
      <c r="E56" s="87">
        <f>E10/E46</f>
        <v>0.08236093881</v>
      </c>
      <c r="F56" s="87"/>
      <c r="G56" s="87">
        <f t="shared" ref="G56:K56" si="17">G10/G46</f>
        <v>0.0736726859</v>
      </c>
      <c r="H56" s="87">
        <f t="shared" si="17"/>
        <v>0.0640589689</v>
      </c>
      <c r="I56" s="87">
        <f t="shared" si="17"/>
        <v>0.05705206562</v>
      </c>
      <c r="J56" s="87">
        <f t="shared" si="17"/>
        <v>0.05159155859</v>
      </c>
      <c r="K56" s="87">
        <f t="shared" si="17"/>
        <v>0.04703926883</v>
      </c>
      <c r="L56" s="120" t="s">
        <v>355</v>
      </c>
      <c r="M56" s="120" t="s">
        <v>355</v>
      </c>
      <c r="N56" s="120" t="s">
        <v>355</v>
      </c>
      <c r="O56" s="120" t="s">
        <v>355</v>
      </c>
      <c r="P56" s="120" t="s">
        <v>355</v>
      </c>
    </row>
    <row r="57" ht="21.0" customHeight="1">
      <c r="A57" s="81" t="s">
        <v>391</v>
      </c>
      <c r="B57" s="87"/>
      <c r="C57" s="87"/>
      <c r="D57" s="87"/>
      <c r="E57" s="87">
        <f>(E56-E55)*Assumptions!$B$227</f>
        <v>-0.002991727998</v>
      </c>
      <c r="F57" s="87"/>
      <c r="G57" s="87">
        <f>(G56-G55)*Assumptions!$B$227</f>
        <v>-0.006467029164</v>
      </c>
      <c r="H57" s="87">
        <f>(H56-H55)*Assumptions!$B$227</f>
        <v>-0.01031251597</v>
      </c>
      <c r="I57" s="87">
        <f>(I56-I55)*Assumptions!$B$227</f>
        <v>-0.01311527727</v>
      </c>
      <c r="J57" s="87">
        <f>(J56-J55)*Assumptions!$B$227</f>
        <v>-0.01529948009</v>
      </c>
      <c r="K57" s="87">
        <f>(K56-K55)*Assumptions!$B$227</f>
        <v>-0.01712039599</v>
      </c>
      <c r="L57" s="120" t="s">
        <v>355</v>
      </c>
      <c r="M57" s="120" t="s">
        <v>355</v>
      </c>
      <c r="N57" s="120" t="s">
        <v>355</v>
      </c>
      <c r="O57" s="120" t="s">
        <v>355</v>
      </c>
      <c r="P57" s="120" t="s">
        <v>355</v>
      </c>
    </row>
    <row r="58" ht="21.0" customHeight="1">
      <c r="A58" s="81" t="s">
        <v>392</v>
      </c>
      <c r="B58" s="87"/>
      <c r="C58" s="87"/>
      <c r="D58" s="87"/>
      <c r="E58" s="87">
        <f>((1-Assumptions!$B$207)*(1+Assumptions!$B$212))^0.5</f>
        <v>0.9757048734</v>
      </c>
      <c r="F58" s="87">
        <f>E58</f>
        <v>0.9757048734</v>
      </c>
      <c r="G58" s="87">
        <f>F58*(1-Assumptions!$B$207)*(1+Assumptions!$B$212)</f>
        <v>0.9288710395</v>
      </c>
      <c r="H58" s="87">
        <f>G58*(1-Assumptions!$B$207)*(1+Assumptions!$B$212)</f>
        <v>0.8842852296</v>
      </c>
      <c r="I58" s="87">
        <f>H58*(1-Assumptions!$B$207)*(1+Assumptions!$B$212)</f>
        <v>0.8418395386</v>
      </c>
      <c r="J58" s="87">
        <f>I58*(1-Assumptions!$B$207)*(1+Assumptions!$B$212)</f>
        <v>0.8014312407</v>
      </c>
      <c r="K58" s="87">
        <f>J58*(1-Assumptions!$B$207)*(1+Assumptions!$B$212)</f>
        <v>0.7629625412</v>
      </c>
      <c r="L58" s="120" t="s">
        <v>355</v>
      </c>
      <c r="M58" s="120" t="s">
        <v>355</v>
      </c>
      <c r="N58" s="120" t="s">
        <v>355</v>
      </c>
      <c r="O58" s="120" t="s">
        <v>355</v>
      </c>
      <c r="P58" s="120" t="s">
        <v>355</v>
      </c>
    </row>
    <row r="59" ht="21.0" customHeight="1">
      <c r="A59" s="83"/>
      <c r="B59" s="83"/>
      <c r="C59" s="83"/>
      <c r="D59" s="83"/>
      <c r="E59" s="83"/>
      <c r="F59" s="83"/>
      <c r="G59" s="83"/>
      <c r="H59" s="83"/>
      <c r="I59" s="83"/>
      <c r="J59" s="83"/>
      <c r="K59" s="83"/>
    </row>
    <row r="60" ht="21.0" customHeight="1">
      <c r="A60" s="80" t="s">
        <v>393</v>
      </c>
      <c r="B60" s="123"/>
      <c r="C60" s="123"/>
      <c r="D60" s="123"/>
      <c r="E60" s="123"/>
      <c r="F60" s="123"/>
      <c r="G60" s="123"/>
      <c r="H60" s="123"/>
      <c r="I60" s="123"/>
      <c r="J60" s="123"/>
      <c r="K60" s="123"/>
    </row>
    <row r="61" ht="21.0" customHeight="1">
      <c r="A61" s="81" t="s">
        <v>394</v>
      </c>
      <c r="B61" s="124"/>
      <c r="C61" s="124"/>
      <c r="D61" s="124"/>
      <c r="E61" s="124">
        <f>'Cloud demand'!B31</f>
        <v>272338.0077</v>
      </c>
      <c r="F61" s="124">
        <f>C16+E61</f>
        <v>502030.0077</v>
      </c>
      <c r="G61" s="124">
        <f>'Cloud demand'!C31</f>
        <v>606897.0739</v>
      </c>
      <c r="H61" s="124">
        <f>'Cloud demand'!D31</f>
        <v>699076.1834</v>
      </c>
      <c r="I61" s="124">
        <f>'Cloud demand'!E31</f>
        <v>790249.726</v>
      </c>
      <c r="J61" s="124">
        <f>'Cloud demand'!F31</f>
        <v>875765.503</v>
      </c>
      <c r="K61" s="124">
        <f>'Cloud demand'!G31</f>
        <v>955084.623</v>
      </c>
      <c r="L61" s="124">
        <f>Transition!C9</f>
        <v>1023962.307</v>
      </c>
      <c r="M61" s="124">
        <f>Transition!D9</f>
        <v>1091353.181</v>
      </c>
      <c r="N61" s="124">
        <f>Transition!E9</f>
        <v>1150150.796</v>
      </c>
      <c r="O61" s="124">
        <f>Transition!F9</f>
        <v>1198385.752</v>
      </c>
      <c r="P61" s="124">
        <f>Transition!G9</f>
        <v>1234337.324</v>
      </c>
    </row>
    <row r="62" ht="21.0" customHeight="1">
      <c r="A62" s="81" t="s">
        <v>395</v>
      </c>
      <c r="B62" s="124"/>
      <c r="C62" s="124"/>
      <c r="D62" s="124"/>
      <c r="E62" s="124">
        <f>ABS($C$23)*Assumptions!$B$220*(1+Assumptions!$B$222)</f>
        <v>9838.4</v>
      </c>
      <c r="F62" s="124">
        <f>ABS(C23)*Assumptions!B220+E62</f>
        <v>18782.4</v>
      </c>
      <c r="G62" s="124">
        <f>F62*(1+(G61/F61-1)*Assumptions!C52)</f>
        <v>21921.1051</v>
      </c>
      <c r="H62" s="124">
        <f>G62*(1+(H61/G61-1)*Assumptions!D52)</f>
        <v>24584.71056</v>
      </c>
      <c r="I62" s="124">
        <f>H62*(1+(I61/H61-1)*Assumptions!E52)</f>
        <v>27149.78168</v>
      </c>
      <c r="J62" s="124">
        <f>I62*(1+(J61/I61-1)*Assumptions!F52)</f>
        <v>29500.16242</v>
      </c>
      <c r="K62" s="124">
        <f>J62*(1+(K61/J61-1)*Assumptions!G52)</f>
        <v>31637.65417</v>
      </c>
      <c r="L62" s="120" t="s">
        <v>355</v>
      </c>
      <c r="M62" s="120" t="s">
        <v>355</v>
      </c>
      <c r="N62" s="120" t="s">
        <v>355</v>
      </c>
      <c r="O62" s="120" t="s">
        <v>355</v>
      </c>
      <c r="P62" s="120" t="s">
        <v>355</v>
      </c>
    </row>
    <row r="63" ht="21.0" customHeight="1">
      <c r="A63" s="81" t="s">
        <v>396</v>
      </c>
      <c r="B63" s="124"/>
      <c r="C63" s="124"/>
      <c r="D63" s="124"/>
      <c r="E63" s="124">
        <f>ABS($C$23)*(1-Assumptions!$B$220)*(1+Assumptions!$B$221)^0.5</f>
        <v>2269.292154</v>
      </c>
      <c r="F63" s="124">
        <f>ABS(C23)*(1-Assumptions!B220)+E63</f>
        <v>4505.292154</v>
      </c>
      <c r="G63" s="124">
        <f>F63*(1+Assumptions!$B$221)</f>
        <v>4640.450919</v>
      </c>
      <c r="H63" s="124">
        <f>G63*(1+Assumptions!$B$221)</f>
        <v>4779.664446</v>
      </c>
      <c r="I63" s="124">
        <f>H63*(1+Assumptions!$B$221)</f>
        <v>4923.05438</v>
      </c>
      <c r="J63" s="124">
        <f>I63*(1+Assumptions!$B$221)</f>
        <v>5070.746011</v>
      </c>
      <c r="K63" s="124">
        <f>J63*(1+Assumptions!$B$221)</f>
        <v>5222.868391</v>
      </c>
      <c r="L63" s="120" t="s">
        <v>355</v>
      </c>
      <c r="M63" s="120" t="s">
        <v>355</v>
      </c>
      <c r="N63" s="120" t="s">
        <v>355</v>
      </c>
      <c r="O63" s="120" t="s">
        <v>355</v>
      </c>
      <c r="P63" s="120" t="s">
        <v>355</v>
      </c>
    </row>
    <row r="64" ht="21.0" customHeight="1">
      <c r="A64" s="81" t="s">
        <v>397</v>
      </c>
      <c r="B64" s="124"/>
      <c r="C64" s="124"/>
      <c r="D64" s="124"/>
      <c r="E64" s="124">
        <f t="shared" ref="E64:K64" si="18">SUM(E62:E63)</f>
        <v>12107.69215</v>
      </c>
      <c r="F64" s="124">
        <f t="shared" si="18"/>
        <v>23287.69215</v>
      </c>
      <c r="G64" s="124">
        <f t="shared" si="18"/>
        <v>26561.55602</v>
      </c>
      <c r="H64" s="124">
        <f t="shared" si="18"/>
        <v>29364.37501</v>
      </c>
      <c r="I64" s="124">
        <f t="shared" si="18"/>
        <v>32072.83605</v>
      </c>
      <c r="J64" s="124">
        <f t="shared" si="18"/>
        <v>34570.90843</v>
      </c>
      <c r="K64" s="124">
        <f t="shared" si="18"/>
        <v>36860.52256</v>
      </c>
      <c r="L64" s="120" t="s">
        <v>355</v>
      </c>
      <c r="M64" s="120" t="s">
        <v>355</v>
      </c>
      <c r="N64" s="120" t="s">
        <v>355</v>
      </c>
      <c r="O64" s="120" t="s">
        <v>355</v>
      </c>
      <c r="P64" s="120" t="s">
        <v>355</v>
      </c>
    </row>
    <row r="65" ht="21.0" customHeight="1">
      <c r="A65" s="83"/>
      <c r="B65" s="83"/>
      <c r="C65" s="83"/>
      <c r="D65" s="83"/>
      <c r="E65" s="83"/>
      <c r="F65" s="83"/>
      <c r="G65" s="83"/>
      <c r="H65" s="83"/>
      <c r="I65" s="83"/>
      <c r="J65" s="83"/>
      <c r="K65" s="83"/>
    </row>
    <row r="66" ht="27.0" customHeight="1">
      <c r="A66" s="81" t="s">
        <v>398</v>
      </c>
    </row>
    <row r="67" ht="27.0" customHeight="1">
      <c r="A67" s="81" t="s">
        <v>399</v>
      </c>
    </row>
    <row r="68" ht="27.0" customHeight="1">
      <c r="A68" s="81" t="s">
        <v>400</v>
      </c>
    </row>
    <row r="69" ht="27.0" customHeight="1">
      <c r="A69" s="81" t="s">
        <v>401</v>
      </c>
    </row>
  </sheetData>
  <mergeCells count="11">
    <mergeCell ref="A67:K67"/>
    <mergeCell ref="A68:K68"/>
    <mergeCell ref="A69:K69"/>
    <mergeCell ref="A1:K1"/>
    <mergeCell ref="A2:K2"/>
    <mergeCell ref="A41:K41"/>
    <mergeCell ref="A42:K42"/>
    <mergeCell ref="A43:K43"/>
    <mergeCell ref="A52:K52"/>
    <mergeCell ref="A66:K66"/>
    <mergeCell ref="L4:P5"/>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3.88"/>
    <col customWidth="1" min="2" max="7" width="15.13"/>
    <col customWidth="1" min="8" max="8" width="41.38"/>
  </cols>
  <sheetData>
    <row r="1" ht="27.0" customHeight="1">
      <c r="A1" s="80" t="s">
        <v>402</v>
      </c>
    </row>
    <row r="2" ht="30.0" customHeight="1">
      <c r="A2" s="81" t="s">
        <v>403</v>
      </c>
    </row>
    <row r="3" ht="21.0" customHeight="1">
      <c r="A3" s="81" t="s">
        <v>2</v>
      </c>
      <c r="B3" s="83" t="str">
        <f>Assumptions!B3</f>
        <v>Base</v>
      </c>
      <c r="C3" s="83"/>
      <c r="D3" s="83"/>
      <c r="E3" s="83"/>
      <c r="F3" s="83"/>
      <c r="G3" s="83"/>
      <c r="H3" s="83"/>
    </row>
    <row r="4" ht="21.0" customHeight="1">
      <c r="A4" s="81" t="s">
        <v>3</v>
      </c>
      <c r="B4" s="125">
        <f>Assumptions!B4</f>
        <v>46320</v>
      </c>
      <c r="C4" s="83"/>
      <c r="D4" s="83"/>
      <c r="E4" s="83"/>
      <c r="F4" s="83"/>
      <c r="G4" s="83"/>
      <c r="H4" s="83"/>
    </row>
    <row r="5" ht="21.0" customHeight="1">
      <c r="A5" s="83"/>
      <c r="B5" s="83"/>
      <c r="C5" s="83"/>
      <c r="D5" s="83"/>
      <c r="E5" s="83"/>
      <c r="F5" s="83"/>
      <c r="G5" s="83"/>
      <c r="H5" s="83"/>
    </row>
    <row r="6" ht="21.0" customHeight="1">
      <c r="A6" s="80" t="s">
        <v>404</v>
      </c>
      <c r="B6" s="80" t="s">
        <v>49</v>
      </c>
      <c r="C6" s="126" t="s">
        <v>50</v>
      </c>
      <c r="D6" s="126" t="s">
        <v>51</v>
      </c>
      <c r="E6" s="126" t="s">
        <v>52</v>
      </c>
      <c r="F6" s="126" t="s">
        <v>53</v>
      </c>
      <c r="G6" s="126" t="s">
        <v>54</v>
      </c>
      <c r="H6" s="80" t="s">
        <v>6</v>
      </c>
    </row>
    <row r="7" ht="31.5" customHeight="1">
      <c r="A7" s="81" t="s">
        <v>405</v>
      </c>
      <c r="B7" s="127">
        <f>'Sources and basis'!$B$92</f>
        <v>513900</v>
      </c>
      <c r="C7" s="127">
        <f>'Sources and basis'!$B$92</f>
        <v>513900</v>
      </c>
      <c r="D7" s="127">
        <f>'Sources and basis'!$B$92</f>
        <v>513900</v>
      </c>
      <c r="E7" s="127">
        <f>'Sources and basis'!$B$92</f>
        <v>513900</v>
      </c>
      <c r="F7" s="127">
        <f>'Sources and basis'!$B$92</f>
        <v>513900</v>
      </c>
      <c r="G7" s="127">
        <f>'Sources and basis'!$B$92</f>
        <v>513900</v>
      </c>
      <c r="H7" s="83"/>
    </row>
    <row r="8" ht="31.5" customHeight="1">
      <c r="A8" s="81" t="s">
        <v>406</v>
      </c>
      <c r="B8" s="128">
        <f>Assumptions!B167</f>
        <v>0.1</v>
      </c>
      <c r="C8" s="128">
        <f>Assumptions!C167</f>
        <v>0.26</v>
      </c>
      <c r="D8" s="128">
        <f>Assumptions!D167</f>
        <v>0.24</v>
      </c>
      <c r="E8" s="128">
        <f>Assumptions!E167</f>
        <v>0.18</v>
      </c>
      <c r="F8" s="128">
        <f>Assumptions!F167</f>
        <v>0.13</v>
      </c>
      <c r="G8" s="128">
        <f>Assumptions!G167</f>
        <v>0.09</v>
      </c>
      <c r="H8" s="83"/>
    </row>
    <row r="9" ht="31.5" customHeight="1">
      <c r="A9" s="81" t="s">
        <v>407</v>
      </c>
      <c r="B9" s="127">
        <f t="shared" ref="B9:G9" si="1">B7*B8</f>
        <v>51390</v>
      </c>
      <c r="C9" s="127">
        <f t="shared" si="1"/>
        <v>133614</v>
      </c>
      <c r="D9" s="127">
        <f t="shared" si="1"/>
        <v>123336</v>
      </c>
      <c r="E9" s="127">
        <f t="shared" si="1"/>
        <v>92502</v>
      </c>
      <c r="F9" s="127">
        <f t="shared" si="1"/>
        <v>66807</v>
      </c>
      <c r="G9" s="127">
        <f t="shared" si="1"/>
        <v>46251</v>
      </c>
      <c r="H9" s="83"/>
    </row>
    <row r="10" ht="31.5" customHeight="1">
      <c r="A10" s="81" t="s">
        <v>408</v>
      </c>
      <c r="B10" s="128">
        <f>Assumptions!B27</f>
        <v>0.7306444135</v>
      </c>
      <c r="C10" s="128">
        <f>Assumptions!C27</f>
        <v>0.35</v>
      </c>
      <c r="D10" s="128">
        <f>Assumptions!D27</f>
        <v>0.25</v>
      </c>
      <c r="E10" s="128">
        <f>Assumptions!E27</f>
        <v>0.2</v>
      </c>
      <c r="F10" s="128">
        <f>Assumptions!F27</f>
        <v>0.16</v>
      </c>
      <c r="G10" s="128">
        <f>Assumptions!G27</f>
        <v>0.12</v>
      </c>
      <c r="H10" s="83"/>
    </row>
    <row r="11" ht="31.5" customHeight="1">
      <c r="A11" s="81" t="s">
        <v>409</v>
      </c>
      <c r="B11" s="127">
        <f>('Historical base'!C13-'Historical base'!D13)*(1+B10)</f>
        <v>56801.4803</v>
      </c>
      <c r="C11" s="127">
        <f>('Historical base'!E13+B12)*(1+C10)</f>
        <v>142094.0118</v>
      </c>
      <c r="D11" s="127">
        <f t="shared" ref="D11:G11" si="2">C12*(1+D10)</f>
        <v>196491.1765</v>
      </c>
      <c r="E11" s="127">
        <f t="shared" si="2"/>
        <v>235789.4118</v>
      </c>
      <c r="F11" s="127">
        <f t="shared" si="2"/>
        <v>273515.7176</v>
      </c>
      <c r="G11" s="127">
        <f t="shared" si="2"/>
        <v>306337.6038</v>
      </c>
      <c r="H11" s="83"/>
    </row>
    <row r="12" ht="31.5" customHeight="1">
      <c r="A12" s="85" t="s">
        <v>410</v>
      </c>
      <c r="B12" s="129">
        <f>MAX(B11,B9/(1-Assumptions!$B$171))</f>
        <v>60458.82353</v>
      </c>
      <c r="C12" s="129">
        <f>MAX(C11,C9/(1-Assumptions!$B$171))</f>
        <v>157192.9412</v>
      </c>
      <c r="D12" s="129">
        <f>MAX(D11,D9/(1-Assumptions!$B$171))</f>
        <v>196491.1765</v>
      </c>
      <c r="E12" s="129">
        <f>MAX(E11,E9/(1-Assumptions!$B$171))</f>
        <v>235789.4118</v>
      </c>
      <c r="F12" s="129">
        <f>MAX(F11,F9/(1-Assumptions!$B$171))</f>
        <v>273515.7176</v>
      </c>
      <c r="G12" s="129">
        <f>MAX(G11,G9/(1-Assumptions!$B$171))</f>
        <v>306337.6038</v>
      </c>
      <c r="H12" s="130"/>
    </row>
    <row r="13" ht="31.5" customHeight="1">
      <c r="A13" s="81" t="s">
        <v>411</v>
      </c>
      <c r="B13" s="127">
        <f t="shared" ref="B13:G13" si="3">B12-B9</f>
        <v>9068.823529</v>
      </c>
      <c r="C13" s="127">
        <f t="shared" si="3"/>
        <v>23578.94118</v>
      </c>
      <c r="D13" s="127">
        <f t="shared" si="3"/>
        <v>73155.17647</v>
      </c>
      <c r="E13" s="127">
        <f t="shared" si="3"/>
        <v>143287.4118</v>
      </c>
      <c r="F13" s="127">
        <f t="shared" si="3"/>
        <v>206708.7176</v>
      </c>
      <c r="G13" s="127">
        <f t="shared" si="3"/>
        <v>260086.6038</v>
      </c>
      <c r="H13" s="83"/>
    </row>
    <row r="14" ht="31.5" customHeight="1">
      <c r="A14" s="81" t="s">
        <v>412</v>
      </c>
      <c r="B14" s="127">
        <f>B7</f>
        <v>513900</v>
      </c>
      <c r="C14" s="127">
        <f t="shared" ref="C14:G14" si="4">B23</f>
        <v>463023.9</v>
      </c>
      <c r="D14" s="127">
        <f t="shared" si="4"/>
        <v>330237.279</v>
      </c>
      <c r="E14" s="127">
        <f t="shared" si="4"/>
        <v>206806.7728</v>
      </c>
      <c r="F14" s="127">
        <f t="shared" si="4"/>
        <v>113995.4877</v>
      </c>
      <c r="G14" s="127">
        <f t="shared" si="4"/>
        <v>46928.44488</v>
      </c>
      <c r="H14" s="83"/>
    </row>
    <row r="15" ht="31.5" customHeight="1">
      <c r="A15" s="81" t="s">
        <v>413</v>
      </c>
      <c r="B15" s="127">
        <f>0</f>
        <v>0</v>
      </c>
      <c r="C15" s="127">
        <f t="shared" ref="C15:G15" si="5">B24</f>
        <v>513.9</v>
      </c>
      <c r="D15" s="127">
        <f t="shared" si="5"/>
        <v>1341.279</v>
      </c>
      <c r="E15" s="127">
        <f t="shared" si="5"/>
        <v>1246.77279</v>
      </c>
      <c r="F15" s="127">
        <f t="shared" si="5"/>
        <v>937.4877279</v>
      </c>
      <c r="G15" s="127">
        <f t="shared" si="5"/>
        <v>677.4448773</v>
      </c>
      <c r="H15" s="83"/>
    </row>
    <row r="16" ht="31.5" customHeight="1">
      <c r="A16" s="81" t="s">
        <v>414</v>
      </c>
      <c r="B16" s="127">
        <f t="shared" ref="B16:G16" si="6">B9+B15</f>
        <v>51390</v>
      </c>
      <c r="C16" s="127">
        <f t="shared" si="6"/>
        <v>134127.9</v>
      </c>
      <c r="D16" s="127">
        <f t="shared" si="6"/>
        <v>124677.279</v>
      </c>
      <c r="E16" s="127">
        <f t="shared" si="6"/>
        <v>93748.77279</v>
      </c>
      <c r="F16" s="127">
        <f t="shared" si="6"/>
        <v>67744.48773</v>
      </c>
      <c r="G16" s="127">
        <f t="shared" si="6"/>
        <v>46928.44488</v>
      </c>
      <c r="H16" s="83"/>
    </row>
    <row r="17" ht="31.5" customHeight="1">
      <c r="A17" s="84" t="s">
        <v>415</v>
      </c>
      <c r="B17" s="127">
        <f>B31/'Capital and FCFF'!B7*Assumptions!B234</f>
        <v>214874.6881</v>
      </c>
      <c r="C17" s="127">
        <f>C31/'Capital and FCFF'!C7*Assumptions!C234</f>
        <v>289611.2837</v>
      </c>
      <c r="D17" s="127">
        <f>D31/'Capital and FCFF'!D7*Assumptions!D234</f>
        <v>403506.7731</v>
      </c>
      <c r="E17" s="127">
        <f>E31/'Capital and FCFF'!E7*Assumptions!E234</f>
        <v>513346.222</v>
      </c>
      <c r="F17" s="127">
        <f>F31/'Capital and FCFF'!F7*Assumptions!F234</f>
        <v>617151.9499</v>
      </c>
      <c r="G17" s="127">
        <f>G31/'Capital and FCFF'!G7*Assumptions!G234</f>
        <v>702942.2825</v>
      </c>
      <c r="H17" s="83"/>
    </row>
    <row r="18" ht="31.5" customHeight="1">
      <c r="A18" s="84" t="s">
        <v>416</v>
      </c>
      <c r="B18" s="127">
        <f>AVERAGE('Capital and FCFF'!B20-'Capital and FCFF'!B13,'Capital and FCFF'!B27)</f>
        <v>214897.1463</v>
      </c>
      <c r="C18" s="127">
        <f>AVERAGE('Capital and FCFF'!C20-'Capital and FCFF'!C13,'Capital and FCFF'!C27)</f>
        <v>289657.1856</v>
      </c>
      <c r="D18" s="127">
        <f>AVERAGE('Capital and FCFF'!D20-'Capital and FCFF'!D13,'Capital and FCFF'!D27)</f>
        <v>403572.8784</v>
      </c>
      <c r="E18" s="127">
        <f>AVERAGE('Capital and FCFF'!E20-'Capital and FCFF'!E13,'Capital and FCFF'!E27)</f>
        <v>513374.7566</v>
      </c>
      <c r="F18" s="127">
        <f>AVERAGE('Capital and FCFF'!F20-'Capital and FCFF'!F13,'Capital and FCFF'!F27)</f>
        <v>617205.1699</v>
      </c>
      <c r="G18" s="127">
        <f>AVERAGE('Capital and FCFF'!G20-'Capital and FCFF'!G13,'Capital and FCFF'!G27)</f>
        <v>702953.2433</v>
      </c>
      <c r="H18" s="83"/>
    </row>
    <row r="19" ht="31.5" customHeight="1">
      <c r="A19" s="84" t="s">
        <v>417</v>
      </c>
      <c r="B19" s="128">
        <f t="shared" ref="B19:G19" si="7">IF(B17&gt;0,MIN(1,B18/B17),1)</f>
        <v>1</v>
      </c>
      <c r="C19" s="128">
        <f t="shared" si="7"/>
        <v>1</v>
      </c>
      <c r="D19" s="128">
        <f t="shared" si="7"/>
        <v>1</v>
      </c>
      <c r="E19" s="128">
        <f t="shared" si="7"/>
        <v>1</v>
      </c>
      <c r="F19" s="128">
        <f t="shared" si="7"/>
        <v>1</v>
      </c>
      <c r="G19" s="128">
        <f t="shared" si="7"/>
        <v>1</v>
      </c>
      <c r="H19" s="83"/>
    </row>
    <row r="20" ht="31.5" customHeight="1">
      <c r="A20" s="81" t="s">
        <v>418</v>
      </c>
      <c r="B20" s="128">
        <f>1-Assumptions!$B$187+Assumptions!$B$187*B19</f>
        <v>1</v>
      </c>
      <c r="C20" s="128">
        <f>1-Assumptions!$B$187+Assumptions!$B$187*C19</f>
        <v>1</v>
      </c>
      <c r="D20" s="128">
        <f>1-Assumptions!$B$187+Assumptions!$B$187*D19</f>
        <v>1</v>
      </c>
      <c r="E20" s="128">
        <f>1-Assumptions!$B$187+Assumptions!$B$187*E19</f>
        <v>1</v>
      </c>
      <c r="F20" s="128">
        <f>1-Assumptions!$B$187+Assumptions!$B$187*F19</f>
        <v>1</v>
      </c>
      <c r="G20" s="128">
        <f>1-Assumptions!$B$187+Assumptions!$B$187*G19</f>
        <v>1</v>
      </c>
      <c r="H20" s="83"/>
    </row>
    <row r="21" ht="31.5" customHeight="1">
      <c r="A21" s="81" t="s">
        <v>419</v>
      </c>
      <c r="B21" s="128">
        <f>1-Assumptions!$B$172*Assumptions!$B$177</f>
        <v>0.99</v>
      </c>
      <c r="C21" s="128">
        <f>1-Assumptions!$B$172*Assumptions!$B$177</f>
        <v>0.99</v>
      </c>
      <c r="D21" s="128">
        <f>1-Assumptions!$B$172*Assumptions!$B$177</f>
        <v>0.99</v>
      </c>
      <c r="E21" s="128">
        <f>1-Assumptions!$B$172*Assumptions!$B$177</f>
        <v>0.99</v>
      </c>
      <c r="F21" s="128">
        <f>1-Assumptions!$B$172*Assumptions!$B$177</f>
        <v>0.99</v>
      </c>
      <c r="G21" s="128">
        <f>1-Assumptions!$B$172*Assumptions!$B$177</f>
        <v>0.99</v>
      </c>
      <c r="H21" s="83"/>
    </row>
    <row r="22" ht="31.5" customHeight="1">
      <c r="A22" s="85" t="s">
        <v>420</v>
      </c>
      <c r="B22" s="129">
        <f t="shared" ref="B22:G22" si="8">MIN(B14,B16*B20*B21)</f>
        <v>50876.1</v>
      </c>
      <c r="C22" s="129">
        <f t="shared" si="8"/>
        <v>132786.621</v>
      </c>
      <c r="D22" s="129">
        <f t="shared" si="8"/>
        <v>123430.5062</v>
      </c>
      <c r="E22" s="129">
        <f t="shared" si="8"/>
        <v>92811.28506</v>
      </c>
      <c r="F22" s="129">
        <f t="shared" si="8"/>
        <v>67067.04285</v>
      </c>
      <c r="G22" s="129">
        <f t="shared" si="8"/>
        <v>46459.16043</v>
      </c>
      <c r="H22" s="130"/>
    </row>
    <row r="23" ht="31.5" customHeight="1">
      <c r="A23" s="81" t="s">
        <v>421</v>
      </c>
      <c r="B23" s="127">
        <f t="shared" ref="B23:G23" si="9">B14-B22</f>
        <v>463023.9</v>
      </c>
      <c r="C23" s="127">
        <f t="shared" si="9"/>
        <v>330237.279</v>
      </c>
      <c r="D23" s="127">
        <f t="shared" si="9"/>
        <v>206806.7728</v>
      </c>
      <c r="E23" s="127">
        <f t="shared" si="9"/>
        <v>113995.4877</v>
      </c>
      <c r="F23" s="127">
        <f t="shared" si="9"/>
        <v>46928.44488</v>
      </c>
      <c r="G23" s="127">
        <f t="shared" si="9"/>
        <v>469.2844488</v>
      </c>
      <c r="H23" s="83"/>
    </row>
    <row r="24" ht="31.5" customHeight="1">
      <c r="A24" s="81" t="s">
        <v>422</v>
      </c>
      <c r="B24" s="127">
        <f t="shared" ref="B24:G24" si="10">MAX(0,B16-B22)</f>
        <v>513.9</v>
      </c>
      <c r="C24" s="127">
        <f t="shared" si="10"/>
        <v>1341.279</v>
      </c>
      <c r="D24" s="127">
        <f t="shared" si="10"/>
        <v>1246.77279</v>
      </c>
      <c r="E24" s="127">
        <f t="shared" si="10"/>
        <v>937.4877279</v>
      </c>
      <c r="F24" s="127">
        <f t="shared" si="10"/>
        <v>677.4448773</v>
      </c>
      <c r="G24" s="127">
        <f t="shared" si="10"/>
        <v>469.2844488</v>
      </c>
      <c r="H24" s="83"/>
    </row>
    <row r="25" ht="31.5" customHeight="1">
      <c r="A25" s="81" t="s">
        <v>423</v>
      </c>
      <c r="B25" s="127">
        <f t="shared" ref="B25:G25" si="11">B13*MIN(1,B20)</f>
        <v>9068.823529</v>
      </c>
      <c r="C25" s="127">
        <f t="shared" si="11"/>
        <v>23578.94118</v>
      </c>
      <c r="D25" s="127">
        <f t="shared" si="11"/>
        <v>73155.17647</v>
      </c>
      <c r="E25" s="127">
        <f t="shared" si="11"/>
        <v>143287.4118</v>
      </c>
      <c r="F25" s="127">
        <f t="shared" si="11"/>
        <v>206708.7176</v>
      </c>
      <c r="G25" s="127">
        <f t="shared" si="11"/>
        <v>260086.6038</v>
      </c>
      <c r="H25" s="83"/>
    </row>
    <row r="26" ht="31.5" customHeight="1">
      <c r="A26" s="81" t="s">
        <v>424</v>
      </c>
      <c r="B26" s="127">
        <f>B25*Assumptions!$B$172*Assumptions!$B$182</f>
        <v>181.3764706</v>
      </c>
      <c r="C26" s="127">
        <f>C25*Assumptions!$B$172*Assumptions!$B$182</f>
        <v>471.5788235</v>
      </c>
      <c r="D26" s="127">
        <f>D25*Assumptions!$B$172*Assumptions!$B$182</f>
        <v>1463.103529</v>
      </c>
      <c r="E26" s="127">
        <f>E25*Assumptions!$B$172*Assumptions!$B$182</f>
        <v>2865.748235</v>
      </c>
      <c r="F26" s="127">
        <f>F25*Assumptions!$B$172*Assumptions!$B$182</f>
        <v>4134.174353</v>
      </c>
      <c r="G26" s="127">
        <f>G25*Assumptions!$B$172*Assumptions!$B$182</f>
        <v>5201.732075</v>
      </c>
      <c r="H26" s="83"/>
    </row>
    <row r="27" ht="31.5" customHeight="1">
      <c r="A27" s="81" t="s">
        <v>425</v>
      </c>
      <c r="B27" s="127">
        <f t="shared" ref="B27:G27" si="12">B25-B26</f>
        <v>8887.447059</v>
      </c>
      <c r="C27" s="127">
        <f t="shared" si="12"/>
        <v>23107.36235</v>
      </c>
      <c r="D27" s="127">
        <f t="shared" si="12"/>
        <v>71692.07294</v>
      </c>
      <c r="E27" s="127">
        <f t="shared" si="12"/>
        <v>140421.6635</v>
      </c>
      <c r="F27" s="127">
        <f t="shared" si="12"/>
        <v>202574.5433</v>
      </c>
      <c r="G27" s="127">
        <f t="shared" si="12"/>
        <v>254884.8717</v>
      </c>
      <c r="H27" s="83"/>
    </row>
    <row r="28" ht="31.5" customHeight="1">
      <c r="A28" s="85" t="s">
        <v>426</v>
      </c>
      <c r="B28" s="129">
        <f t="shared" ref="B28:G28" si="13">SUM(B22,B27)</f>
        <v>59763.54706</v>
      </c>
      <c r="C28" s="129">
        <f t="shared" si="13"/>
        <v>155893.9834</v>
      </c>
      <c r="D28" s="129">
        <f t="shared" si="13"/>
        <v>195122.5792</v>
      </c>
      <c r="E28" s="129">
        <f t="shared" si="13"/>
        <v>233232.9486</v>
      </c>
      <c r="F28" s="129">
        <f t="shared" si="13"/>
        <v>269641.5861</v>
      </c>
      <c r="G28" s="129">
        <f t="shared" si="13"/>
        <v>301344.0321</v>
      </c>
      <c r="H28" s="130"/>
    </row>
    <row r="29" ht="31.5" customHeight="1">
      <c r="A29" s="81" t="s">
        <v>427</v>
      </c>
      <c r="B29" s="128">
        <f>B28/('Historical base'!C13-'Historical base'!D13)-1</f>
        <v>0.8208935456</v>
      </c>
      <c r="C29" s="128">
        <f>C28/('Historical base'!E13+B28)-1</f>
        <v>0.4909588626</v>
      </c>
      <c r="D29" s="128">
        <f t="shared" ref="D29:G29" si="14">D28/C28-1</f>
        <v>0.2516363682</v>
      </c>
      <c r="E29" s="128">
        <f t="shared" si="14"/>
        <v>0.1953150148</v>
      </c>
      <c r="F29" s="128">
        <f t="shared" si="14"/>
        <v>0.1561041773</v>
      </c>
      <c r="G29" s="128">
        <f t="shared" si="14"/>
        <v>0.1175725393</v>
      </c>
      <c r="H29" s="83"/>
    </row>
    <row r="30" ht="31.5" customHeight="1">
      <c r="A30" s="81" t="s">
        <v>428</v>
      </c>
      <c r="B30" s="127">
        <f t="shared" ref="B30:G30" si="15">B12-B28</f>
        <v>695.2764706</v>
      </c>
      <c r="C30" s="127">
        <f t="shared" si="15"/>
        <v>1298.957824</v>
      </c>
      <c r="D30" s="127">
        <f t="shared" si="15"/>
        <v>1368.597319</v>
      </c>
      <c r="E30" s="127">
        <f t="shared" si="15"/>
        <v>2556.463173</v>
      </c>
      <c r="F30" s="127">
        <f t="shared" si="15"/>
        <v>3874.131502</v>
      </c>
      <c r="G30" s="127">
        <f t="shared" si="15"/>
        <v>4993.571647</v>
      </c>
      <c r="H30" s="83"/>
    </row>
    <row r="31" ht="31.5" customHeight="1">
      <c r="A31" s="85" t="s">
        <v>429</v>
      </c>
      <c r="B31" s="129">
        <f>SUM('Operating forecast'!E12,'Operating forecast'!E14:'Operating forecast'!E15,B12)</f>
        <v>272338.0077</v>
      </c>
      <c r="C31" s="129">
        <f>SUM('Operating forecast'!G12,'Operating forecast'!G14:'Operating forecast'!G15,C12)</f>
        <v>606897.0739</v>
      </c>
      <c r="D31" s="129">
        <f>SUM('Operating forecast'!H12,'Operating forecast'!H14:'Operating forecast'!H15,D12)</f>
        <v>699076.1834</v>
      </c>
      <c r="E31" s="129">
        <f>SUM('Operating forecast'!I12,'Operating forecast'!I14:'Operating forecast'!I15,E12)</f>
        <v>790249.726</v>
      </c>
      <c r="F31" s="129">
        <f>SUM('Operating forecast'!J12,'Operating forecast'!J14:'Operating forecast'!J15,F12)</f>
        <v>875765.503</v>
      </c>
      <c r="G31" s="129">
        <f>SUM('Operating forecast'!K12,'Operating forecast'!K14:'Operating forecast'!K15,G12)</f>
        <v>955084.623</v>
      </c>
      <c r="H31" s="130"/>
    </row>
    <row r="32" ht="31.5" customHeight="1">
      <c r="A32" s="85" t="s">
        <v>430</v>
      </c>
      <c r="B32" s="129">
        <f t="shared" ref="B32:G32" si="16">B14-B22-B23</f>
        <v>0</v>
      </c>
      <c r="C32" s="129">
        <f t="shared" si="16"/>
        <v>0</v>
      </c>
      <c r="D32" s="129">
        <f t="shared" si="16"/>
        <v>0</v>
      </c>
      <c r="E32" s="129">
        <f t="shared" si="16"/>
        <v>0</v>
      </c>
      <c r="F32" s="129">
        <f t="shared" si="16"/>
        <v>0</v>
      </c>
      <c r="G32" s="129">
        <f t="shared" si="16"/>
        <v>0</v>
      </c>
      <c r="H32" s="130"/>
    </row>
    <row r="33" ht="31.5" customHeight="1">
      <c r="A33" s="83"/>
      <c r="B33" s="127"/>
      <c r="C33" s="127"/>
      <c r="D33" s="127"/>
      <c r="E33" s="127"/>
      <c r="F33" s="127"/>
      <c r="G33" s="127"/>
      <c r="H33" s="83"/>
    </row>
    <row r="34" ht="31.5" customHeight="1">
      <c r="A34" s="81" t="s">
        <v>431</v>
      </c>
      <c r="B34" s="128">
        <f>SUM(B8:C8)+Assumptions!B168</f>
        <v>0.51</v>
      </c>
      <c r="C34" s="128"/>
      <c r="D34" s="128"/>
      <c r="E34" s="128"/>
      <c r="F34" s="128"/>
      <c r="G34" s="128"/>
      <c r="H34" s="83"/>
    </row>
    <row r="35" ht="31.5" customHeight="1">
      <c r="A35" s="81" t="s">
        <v>432</v>
      </c>
      <c r="B35" s="128">
        <f>(SUM(B22:C22)+D22*Assumptions!B168/D8)/B7</f>
        <v>0.5075049375</v>
      </c>
      <c r="C35" s="128"/>
      <c r="D35" s="128"/>
      <c r="E35" s="128"/>
      <c r="F35" s="128"/>
      <c r="G35" s="128"/>
      <c r="H35" s="83"/>
    </row>
    <row r="36" ht="31.5" customHeight="1">
      <c r="A36" s="81" t="s">
        <v>433</v>
      </c>
      <c r="B36" s="127">
        <f>G23</f>
        <v>469.2844488</v>
      </c>
      <c r="C36" s="127"/>
      <c r="D36" s="127"/>
      <c r="E36" s="127"/>
      <c r="F36" s="127"/>
      <c r="G36" s="127"/>
      <c r="H36" s="83"/>
    </row>
    <row r="37" ht="31.5" customHeight="1">
      <c r="A37" s="81" t="s">
        <v>434</v>
      </c>
      <c r="B37" s="128">
        <f>'Sources and basis'!B101/'Sources and basis'!B100</f>
        <v>0.3856475275</v>
      </c>
      <c r="C37" s="128"/>
      <c r="D37" s="128"/>
      <c r="E37" s="128"/>
      <c r="F37" s="128"/>
      <c r="G37" s="128"/>
      <c r="H37" s="83"/>
    </row>
    <row r="38" ht="31.5" customHeight="1">
      <c r="A38" s="81" t="s">
        <v>435</v>
      </c>
      <c r="B38" s="128">
        <f>Assumptions!G42</f>
        <v>0.38</v>
      </c>
      <c r="C38" s="128"/>
      <c r="D38" s="128"/>
      <c r="E38" s="128"/>
      <c r="F38" s="128"/>
      <c r="G38" s="128"/>
      <c r="H38" s="83"/>
    </row>
    <row r="39" ht="21.0" customHeight="1">
      <c r="A39" s="83"/>
      <c r="B39" s="83"/>
      <c r="C39" s="83"/>
      <c r="D39" s="83"/>
      <c r="E39" s="83"/>
      <c r="F39" s="83"/>
      <c r="G39" s="83"/>
      <c r="H39" s="83"/>
    </row>
    <row r="40" ht="31.5" customHeight="1">
      <c r="A40" s="81" t="s">
        <v>436</v>
      </c>
    </row>
    <row r="41" ht="31.5" customHeight="1">
      <c r="A41" s="84" t="s">
        <v>437</v>
      </c>
    </row>
    <row r="42" ht="31.5" customHeight="1">
      <c r="A42" s="81" t="s">
        <v>438</v>
      </c>
    </row>
    <row r="43" ht="31.5" customHeight="1">
      <c r="A43" s="81" t="s">
        <v>439</v>
      </c>
    </row>
    <row r="44" ht="31.5" customHeight="1">
      <c r="A44" s="81" t="s">
        <v>440</v>
      </c>
    </row>
    <row r="45" ht="31.5" customHeight="1">
      <c r="A45" s="81" t="s">
        <v>441</v>
      </c>
    </row>
    <row r="46" ht="21.0" customHeight="1">
      <c r="A46" s="81" t="s">
        <v>442</v>
      </c>
      <c r="B46" s="83" t="str">
        <f>IF(ABS(SUM(B8:G8)-1)&lt;0.000001,"PASS","REVIEW")</f>
        <v>PASS</v>
      </c>
      <c r="C46" s="83"/>
      <c r="D46" s="83"/>
      <c r="E46" s="83"/>
      <c r="F46" s="83"/>
      <c r="G46" s="83"/>
      <c r="H46" s="83"/>
    </row>
    <row r="47" ht="21.0" customHeight="1">
      <c r="A47" s="81" t="s">
        <v>443</v>
      </c>
      <c r="B47" s="83" t="str">
        <f>IF(ABS(B34-Assumptions!B169)&lt;0.000001,"PASS","REVIEW")</f>
        <v>PASS</v>
      </c>
      <c r="C47" s="83"/>
      <c r="D47" s="83"/>
      <c r="E47" s="83"/>
      <c r="F47" s="83"/>
      <c r="G47" s="83"/>
      <c r="H47" s="83"/>
    </row>
    <row r="49" ht="27.0" customHeight="1">
      <c r="A49" s="112" t="s">
        <v>444</v>
      </c>
    </row>
    <row r="50" ht="27.0" customHeight="1">
      <c r="A50" s="80" t="s">
        <v>445</v>
      </c>
      <c r="B50" s="80" t="s">
        <v>349</v>
      </c>
      <c r="C50" s="80" t="s">
        <v>350</v>
      </c>
      <c r="D50" s="80" t="s">
        <v>351</v>
      </c>
      <c r="E50" s="80" t="s">
        <v>352</v>
      </c>
      <c r="F50" s="80" t="s">
        <v>353</v>
      </c>
    </row>
    <row r="51" ht="27.0" customHeight="1">
      <c r="A51" s="85" t="s">
        <v>446</v>
      </c>
      <c r="B51" s="129">
        <f>Transition!C9</f>
        <v>1023962.307</v>
      </c>
      <c r="C51" s="129">
        <f>Transition!D9</f>
        <v>1091353.181</v>
      </c>
      <c r="D51" s="129">
        <f>Transition!E9</f>
        <v>1150150.796</v>
      </c>
      <c r="E51" s="129">
        <f>Transition!F9</f>
        <v>1198385.752</v>
      </c>
      <c r="F51" s="129">
        <f>Transition!G9</f>
        <v>1234337.324</v>
      </c>
    </row>
    <row r="52" ht="27.0" customHeight="1">
      <c r="A52" s="85" t="s">
        <v>447</v>
      </c>
      <c r="B52" s="128">
        <f>Transition!C8</f>
        <v>0.07775176399</v>
      </c>
      <c r="C52" s="128">
        <f>Transition!D8</f>
        <v>0.06581382299</v>
      </c>
      <c r="D52" s="128">
        <f>Transition!E8</f>
        <v>0.053875882</v>
      </c>
      <c r="E52" s="128">
        <f>Transition!F8</f>
        <v>0.041937941</v>
      </c>
      <c r="F52" s="128">
        <f>Transition!G8</f>
        <v>0.03</v>
      </c>
    </row>
    <row r="53" ht="27.0" customHeight="1">
      <c r="A53" s="85" t="s">
        <v>448</v>
      </c>
      <c r="B53" s="129">
        <f>'Capital and FCFF'!H90</f>
        <v>794378.8282</v>
      </c>
      <c r="C53" s="129">
        <f>'Capital and FCFF'!I90</f>
        <v>844422.6801</v>
      </c>
      <c r="D53" s="129">
        <f>'Capital and FCFF'!J90</f>
        <v>887558.907</v>
      </c>
      <c r="E53" s="129">
        <f>'Capital and FCFF'!K90</f>
        <v>922324.6294</v>
      </c>
      <c r="F53" s="129">
        <f>'Capital and FCFF'!L90</f>
        <v>947463.9976</v>
      </c>
    </row>
    <row r="54" ht="27.0" customHeight="1">
      <c r="A54" s="85" t="s">
        <v>449</v>
      </c>
      <c r="B54" s="129">
        <f>'Capital and FCFF'!H27</f>
        <v>794378.8282</v>
      </c>
      <c r="C54" s="129">
        <f>'Capital and FCFF'!I27</f>
        <v>844422.6801</v>
      </c>
      <c r="D54" s="129">
        <f>'Capital and FCFF'!J27</f>
        <v>887558.907</v>
      </c>
      <c r="E54" s="129">
        <f>'Capital and FCFF'!K27</f>
        <v>922324.6294</v>
      </c>
      <c r="F54" s="129">
        <f>'Capital and FCFF'!L27</f>
        <v>947463.9976</v>
      </c>
    </row>
    <row r="55" ht="27.0" customHeight="1">
      <c r="A55" s="85" t="s">
        <v>450</v>
      </c>
      <c r="B55" s="129">
        <f>'Capital and FCFF'!H15</f>
        <v>241187.9007</v>
      </c>
      <c r="C55" s="129">
        <f>'Capital and FCFF'!I15</f>
        <v>244264.3858</v>
      </c>
      <c r="D55" s="129">
        <f>'Capital and FCFF'!J15</f>
        <v>240274.4901</v>
      </c>
      <c r="E55" s="129">
        <f>'Capital and FCFF'!K15</f>
        <v>234696.2638</v>
      </c>
      <c r="F55" s="129">
        <f>'Capital and FCFF'!L15</f>
        <v>226396.8775</v>
      </c>
    </row>
    <row r="56" ht="27.0" customHeight="1">
      <c r="A56" s="85" t="s">
        <v>376</v>
      </c>
      <c r="B56" s="129">
        <f>'Capital and FCFF'!H12</f>
        <v>202967.1134</v>
      </c>
      <c r="C56" s="129">
        <f>'Capital and FCFF'!I12</f>
        <v>211127.465</v>
      </c>
      <c r="D56" s="129">
        <f>'Capital and FCFF'!J12</f>
        <v>201959.6673</v>
      </c>
      <c r="E56" s="129">
        <f>'Capital and FCFF'!K12</f>
        <v>195589.9997</v>
      </c>
      <c r="F56" s="129">
        <f>'Capital and FCFF'!L12</f>
        <v>185755.0802</v>
      </c>
    </row>
    <row r="57" ht="27.0" customHeight="1">
      <c r="A57" s="85" t="s">
        <v>451</v>
      </c>
      <c r="B57" s="128">
        <f>'Capital and FCFF'!H40</f>
        <v>0.2193813471</v>
      </c>
      <c r="C57" s="128">
        <f>'Capital and FCFF'!I40</f>
        <v>0.2228251526</v>
      </c>
      <c r="D57" s="128">
        <f>'Capital and FCFF'!J40</f>
        <v>0.2257224935</v>
      </c>
      <c r="E57" s="128">
        <f>'Capital and FCFF'!K40</f>
        <v>0.2283616407</v>
      </c>
      <c r="F57" s="128">
        <f>'Capital and FCFF'!L40</f>
        <v>0.2302040074</v>
      </c>
    </row>
    <row r="58" ht="27.0" customHeight="1">
      <c r="A58" s="85" t="s">
        <v>452</v>
      </c>
      <c r="B58" s="129">
        <f>'Capital and FCFF'!H38</f>
        <v>179349.6986</v>
      </c>
      <c r="C58" s="129">
        <f>'Capital and FCFF'!I38</f>
        <v>194570.9913</v>
      </c>
      <c r="D58" s="129">
        <f>'Capital and FCFF'!J38</f>
        <v>223655.3296</v>
      </c>
      <c r="E58" s="129">
        <f>'Capital and FCFF'!K38</f>
        <v>245951.2229</v>
      </c>
      <c r="F58" s="129">
        <f>'Capital and FCFF'!L38</f>
        <v>267210.7934</v>
      </c>
    </row>
    <row r="60">
      <c r="A60" s="112" t="s">
        <v>453</v>
      </c>
    </row>
  </sheetData>
  <mergeCells count="10">
    <mergeCell ref="A45:H45"/>
    <mergeCell ref="A49:F49"/>
    <mergeCell ref="A60:F61"/>
    <mergeCell ref="A1:H1"/>
    <mergeCell ref="A2:H2"/>
    <mergeCell ref="A40:H40"/>
    <mergeCell ref="A41:H41"/>
    <mergeCell ref="A42:H42"/>
    <mergeCell ref="A43:H43"/>
    <mergeCell ref="A44:H4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10" width="15.75"/>
    <col customWidth="1" min="11" max="15" width="13.88"/>
  </cols>
  <sheetData>
    <row r="1" ht="25.5" customHeight="1">
      <c r="A1" s="131" t="s">
        <v>454</v>
      </c>
    </row>
    <row r="2" ht="34.5" customHeight="1">
      <c r="A2" s="7" t="s">
        <v>455</v>
      </c>
    </row>
    <row r="3" ht="20.25" customHeight="1">
      <c r="A3" s="3" t="s">
        <v>263</v>
      </c>
      <c r="B3" s="3" t="str">
        <f>Assumptions!B3</f>
        <v>Base</v>
      </c>
      <c r="C3" s="3"/>
      <c r="D3" s="3"/>
      <c r="E3" s="3"/>
      <c r="F3" s="3"/>
      <c r="G3" s="3"/>
      <c r="H3" s="3"/>
      <c r="I3" s="3"/>
      <c r="J3" s="3"/>
    </row>
    <row r="4" ht="20.25" customHeight="1">
      <c r="A4" s="35" t="s">
        <v>456</v>
      </c>
      <c r="B4" s="132">
        <f>C29</f>
        <v>26257</v>
      </c>
      <c r="C4" s="3"/>
      <c r="D4" s="3"/>
      <c r="E4" s="3"/>
      <c r="F4" s="3"/>
      <c r="G4" s="3"/>
      <c r="H4" s="3"/>
      <c r="I4" s="3"/>
      <c r="J4" s="3"/>
      <c r="K4" s="112" t="s">
        <v>457</v>
      </c>
    </row>
    <row r="5" ht="20.25" customHeight="1">
      <c r="A5" s="3"/>
      <c r="B5" s="3"/>
      <c r="C5" s="3"/>
      <c r="D5" s="3"/>
      <c r="E5" s="3"/>
      <c r="F5" s="3"/>
      <c r="G5" s="3"/>
      <c r="H5" s="3"/>
      <c r="I5" s="3"/>
      <c r="J5" s="3"/>
    </row>
    <row r="6" ht="27.0" customHeight="1">
      <c r="A6" s="6" t="s">
        <v>458</v>
      </c>
      <c r="B6" s="6" t="s">
        <v>459</v>
      </c>
      <c r="C6" s="6" t="s">
        <v>460</v>
      </c>
      <c r="D6" s="6"/>
      <c r="E6" s="6" t="s">
        <v>461</v>
      </c>
      <c r="F6" s="6" t="s">
        <v>344</v>
      </c>
      <c r="G6" s="6" t="s">
        <v>345</v>
      </c>
      <c r="H6" s="6" t="s">
        <v>346</v>
      </c>
      <c r="I6" s="6" t="s">
        <v>347</v>
      </c>
      <c r="J6" s="6" t="s">
        <v>348</v>
      </c>
      <c r="K6" s="113" t="s">
        <v>349</v>
      </c>
      <c r="L6" s="113" t="s">
        <v>350</v>
      </c>
      <c r="M6" s="113" t="s">
        <v>351</v>
      </c>
      <c r="N6" s="113" t="s">
        <v>352</v>
      </c>
      <c r="O6" s="113" t="s">
        <v>353</v>
      </c>
    </row>
    <row r="7" ht="20.25" customHeight="1">
      <c r="A7" s="133" t="s">
        <v>462</v>
      </c>
      <c r="B7" s="134"/>
      <c r="C7" s="134"/>
      <c r="D7" s="134"/>
      <c r="E7" s="134"/>
      <c r="F7" s="134"/>
      <c r="G7" s="134"/>
      <c r="H7" s="134"/>
      <c r="I7" s="134"/>
      <c r="J7" s="134"/>
      <c r="K7" s="134"/>
      <c r="L7" s="134"/>
      <c r="M7" s="134"/>
      <c r="N7" s="134"/>
      <c r="O7" s="134"/>
    </row>
    <row r="8" ht="20.25" customHeight="1">
      <c r="A8" s="3" t="s">
        <v>463</v>
      </c>
      <c r="B8" s="135">
        <f>'Balance sheet'!G11</f>
        <v>62886</v>
      </c>
      <c r="C8" s="135">
        <f>'Balance sheet'!I11</f>
        <v>69175</v>
      </c>
      <c r="D8" s="135"/>
      <c r="E8" s="135">
        <f>E35/365*Assumptions!B103</f>
        <v>77780.83557</v>
      </c>
      <c r="F8" s="135">
        <f>F35/365*Assumptions!C103</f>
        <v>93957.04018</v>
      </c>
      <c r="G8" s="135">
        <f>G35/365*Assumptions!D103</f>
        <v>108247.5952</v>
      </c>
      <c r="H8" s="135">
        <f>H35/365*Assumptions!E103</f>
        <v>122208.6489</v>
      </c>
      <c r="I8" s="135">
        <f>I35/365*Assumptions!F103</f>
        <v>135271.7759</v>
      </c>
      <c r="J8" s="135">
        <f>J35/365*Assumptions!G103</f>
        <v>147404.2615</v>
      </c>
      <c r="K8" s="135">
        <f t="shared" ref="K8:O8" si="1">K35*($J$8/$J$35)</f>
        <v>158865.2029</v>
      </c>
      <c r="L8" s="135">
        <f t="shared" si="1"/>
        <v>169320.7292</v>
      </c>
      <c r="M8" s="135">
        <f t="shared" si="1"/>
        <v>178443.0329</v>
      </c>
      <c r="N8" s="135">
        <f t="shared" si="1"/>
        <v>185926.5663</v>
      </c>
      <c r="O8" s="135">
        <f t="shared" si="1"/>
        <v>191504.3632</v>
      </c>
    </row>
    <row r="9" ht="20.25" customHeight="1">
      <c r="A9" s="3" t="s">
        <v>464</v>
      </c>
      <c r="B9" s="135">
        <f>'Sources and basis'!B97</f>
        <v>2439</v>
      </c>
      <c r="C9" s="135">
        <f>'Balance sheet'!I12</f>
        <v>9991</v>
      </c>
      <c r="D9" s="135"/>
      <c r="E9" s="135">
        <f>E35*Assumptions!B108</f>
        <v>11233.94764</v>
      </c>
      <c r="F9" s="135">
        <f>F35*Assumptions!C108</f>
        <v>8618.463863</v>
      </c>
      <c r="G9" s="135">
        <f>G35*Assumptions!D108</f>
        <v>4224.321566</v>
      </c>
      <c r="H9" s="135">
        <f>H35*Assumptions!E108</f>
        <v>4769.146422</v>
      </c>
      <c r="I9" s="135">
        <f>I35*Assumptions!F108</f>
        <v>5278.930024</v>
      </c>
      <c r="J9" s="135">
        <f>J35*Assumptions!G108</f>
        <v>5752.3957</v>
      </c>
      <c r="K9" s="135">
        <f t="shared" ref="K9:O9" si="2">K35*($J$9/$J$35)</f>
        <v>6199.654613</v>
      </c>
      <c r="L9" s="135">
        <f t="shared" si="2"/>
        <v>6607.677584</v>
      </c>
      <c r="M9" s="135">
        <f t="shared" si="2"/>
        <v>6963.672042</v>
      </c>
      <c r="N9" s="135">
        <f t="shared" si="2"/>
        <v>7255.714109</v>
      </c>
      <c r="O9" s="135">
        <f t="shared" si="2"/>
        <v>7473.385533</v>
      </c>
    </row>
    <row r="10" ht="20.25" customHeight="1">
      <c r="A10" s="3" t="s">
        <v>465</v>
      </c>
      <c r="B10" s="135">
        <f>'Sources and basis'!B98</f>
        <v>13870</v>
      </c>
      <c r="C10" s="135">
        <f>'Balance sheet'!I13</f>
        <v>21884</v>
      </c>
      <c r="D10" s="135"/>
      <c r="E10" s="135">
        <f>E35*Assumptions!B113</f>
        <v>16623.2291</v>
      </c>
      <c r="F10" s="135">
        <f>F35*Assumptions!C113</f>
        <v>20080.38861</v>
      </c>
      <c r="G10" s="135">
        <f>G35*Assumptions!D113</f>
        <v>23134.54929</v>
      </c>
      <c r="H10" s="135">
        <f>H35*Assumptions!E113</f>
        <v>26118.28935</v>
      </c>
      <c r="I10" s="135">
        <f>I35*Assumptions!F113</f>
        <v>28910.12554</v>
      </c>
      <c r="J10" s="135">
        <f>J35*Assumptions!G113</f>
        <v>31503.06617</v>
      </c>
      <c r="K10" s="135">
        <f t="shared" ref="K10:O10" si="3">K35*($J$10/$J$35)</f>
        <v>33952.48514</v>
      </c>
      <c r="L10" s="135">
        <f t="shared" si="3"/>
        <v>36187.02799</v>
      </c>
      <c r="M10" s="135">
        <f t="shared" si="3"/>
        <v>38136.63604</v>
      </c>
      <c r="N10" s="135">
        <f t="shared" si="3"/>
        <v>39736.00803</v>
      </c>
      <c r="O10" s="135">
        <f t="shared" si="3"/>
        <v>40928.08827</v>
      </c>
    </row>
    <row r="11" ht="20.25" customHeight="1">
      <c r="A11" s="3" t="s">
        <v>466</v>
      </c>
      <c r="B11" s="135">
        <f>'Sources and basis'!B84</f>
        <v>0</v>
      </c>
      <c r="C11" s="135">
        <f>'Sources and basis'!C84</f>
        <v>7100</v>
      </c>
      <c r="D11" s="135"/>
      <c r="E11" s="135"/>
      <c r="F11" s="135"/>
      <c r="G11" s="135"/>
      <c r="H11" s="135"/>
      <c r="I11" s="135"/>
      <c r="J11" s="135"/>
      <c r="K11" s="136" t="s">
        <v>467</v>
      </c>
      <c r="L11" s="136" t="s">
        <v>467</v>
      </c>
      <c r="M11" s="136" t="s">
        <v>467</v>
      </c>
      <c r="N11" s="136" t="s">
        <v>467</v>
      </c>
      <c r="O11" s="136" t="s">
        <v>467</v>
      </c>
    </row>
    <row r="12" ht="20.25" customHeight="1">
      <c r="A12" s="3" t="s">
        <v>468</v>
      </c>
      <c r="B12" s="135">
        <v>0.0</v>
      </c>
      <c r="C12" s="135">
        <v>0.0</v>
      </c>
      <c r="D12" s="135"/>
      <c r="E12" s="135"/>
      <c r="F12" s="135"/>
      <c r="G12" s="135"/>
      <c r="H12" s="135"/>
      <c r="I12" s="135"/>
      <c r="J12" s="135"/>
      <c r="K12" s="136" t="s">
        <v>467</v>
      </c>
      <c r="L12" s="136" t="s">
        <v>467</v>
      </c>
      <c r="M12" s="136" t="s">
        <v>467</v>
      </c>
      <c r="N12" s="136" t="s">
        <v>467</v>
      </c>
      <c r="O12" s="136" t="s">
        <v>467</v>
      </c>
    </row>
    <row r="13" ht="20.25" customHeight="1">
      <c r="A13" s="22" t="s">
        <v>462</v>
      </c>
      <c r="B13" s="137">
        <f t="shared" ref="B13:C13" si="4">SUM(B8:B10)-SUM(B11:B12)</f>
        <v>79195</v>
      </c>
      <c r="C13" s="137">
        <f t="shared" si="4"/>
        <v>93950</v>
      </c>
      <c r="D13" s="137"/>
      <c r="E13" s="137">
        <f t="shared" ref="E13:O13" si="5">SUM(E8:E10)</f>
        <v>105638.0123</v>
      </c>
      <c r="F13" s="137">
        <f t="shared" si="5"/>
        <v>122655.8927</v>
      </c>
      <c r="G13" s="137">
        <f t="shared" si="5"/>
        <v>135606.466</v>
      </c>
      <c r="H13" s="137">
        <f t="shared" si="5"/>
        <v>153096.0847</v>
      </c>
      <c r="I13" s="137">
        <f t="shared" si="5"/>
        <v>169460.8314</v>
      </c>
      <c r="J13" s="137">
        <f t="shared" si="5"/>
        <v>184659.7234</v>
      </c>
      <c r="K13" s="137">
        <f t="shared" si="5"/>
        <v>199017.3427</v>
      </c>
      <c r="L13" s="137">
        <f t="shared" si="5"/>
        <v>212115.4348</v>
      </c>
      <c r="M13" s="137">
        <f t="shared" si="5"/>
        <v>223543.3409</v>
      </c>
      <c r="N13" s="137">
        <f t="shared" si="5"/>
        <v>232918.2884</v>
      </c>
      <c r="O13" s="137">
        <f t="shared" si="5"/>
        <v>239905.837</v>
      </c>
    </row>
    <row r="14" ht="20.25" customHeight="1">
      <c r="A14" s="3"/>
      <c r="B14" s="135"/>
      <c r="C14" s="135"/>
      <c r="D14" s="135"/>
      <c r="E14" s="135"/>
      <c r="F14" s="135"/>
      <c r="G14" s="135"/>
      <c r="H14" s="135"/>
      <c r="I14" s="135"/>
      <c r="J14" s="135"/>
      <c r="K14" s="135"/>
      <c r="L14" s="135"/>
      <c r="M14" s="135"/>
      <c r="N14" s="135"/>
      <c r="O14" s="135"/>
    </row>
    <row r="15" ht="20.25" customHeight="1">
      <c r="A15" s="133" t="s">
        <v>469</v>
      </c>
      <c r="B15" s="134"/>
      <c r="C15" s="134"/>
      <c r="D15" s="134"/>
      <c r="E15" s="134"/>
      <c r="F15" s="134"/>
      <c r="G15" s="134"/>
      <c r="H15" s="134"/>
      <c r="I15" s="134"/>
      <c r="J15" s="134"/>
      <c r="K15" s="134"/>
      <c r="L15" s="134"/>
      <c r="M15" s="134"/>
      <c r="N15" s="134"/>
      <c r="O15" s="134"/>
    </row>
    <row r="16" ht="20.25" customHeight="1">
      <c r="A16" s="3" t="s">
        <v>470</v>
      </c>
      <c r="B16" s="135">
        <f>'Balance sheet'!G27</f>
        <v>12200</v>
      </c>
      <c r="C16" s="135">
        <f>'Balance sheet'!I27</f>
        <v>20258</v>
      </c>
      <c r="D16" s="135"/>
      <c r="E16" s="135"/>
      <c r="F16" s="135"/>
      <c r="G16" s="135"/>
      <c r="H16" s="135"/>
      <c r="I16" s="135"/>
      <c r="J16" s="135"/>
      <c r="K16" s="136" t="s">
        <v>467</v>
      </c>
      <c r="L16" s="136" t="s">
        <v>467</v>
      </c>
      <c r="M16" s="136" t="s">
        <v>467</v>
      </c>
      <c r="N16" s="136" t="s">
        <v>467</v>
      </c>
      <c r="O16" s="136" t="s">
        <v>467</v>
      </c>
    </row>
    <row r="17" ht="20.25" customHeight="1">
      <c r="A17" s="3" t="s">
        <v>471</v>
      </c>
      <c r="B17" s="135">
        <f>'Sources and basis'!D42-'Sources and basis'!B86</f>
        <v>6213</v>
      </c>
      <c r="C17" s="135">
        <f>'Sources and basis'!E42-'Sources and basis'!C86</f>
        <v>12917</v>
      </c>
      <c r="D17" s="135"/>
      <c r="E17" s="135"/>
      <c r="F17" s="135"/>
      <c r="G17" s="135"/>
      <c r="H17" s="135"/>
      <c r="I17" s="135"/>
      <c r="J17" s="135"/>
      <c r="K17" s="136" t="s">
        <v>467</v>
      </c>
      <c r="L17" s="136" t="s">
        <v>467</v>
      </c>
      <c r="M17" s="136" t="s">
        <v>467</v>
      </c>
      <c r="N17" s="136" t="s">
        <v>467</v>
      </c>
      <c r="O17" s="136" t="s">
        <v>467</v>
      </c>
    </row>
    <row r="18" ht="20.25" customHeight="1">
      <c r="A18" s="3" t="s">
        <v>472</v>
      </c>
      <c r="B18" s="135">
        <f t="shared" ref="B18:C18" si="6">B16-B17</f>
        <v>5987</v>
      </c>
      <c r="C18" s="135">
        <f t="shared" si="6"/>
        <v>7341</v>
      </c>
      <c r="D18" s="135"/>
      <c r="E18" s="135">
        <f>E35*Assumptions!B118</f>
        <v>8254.269807</v>
      </c>
      <c r="F18" s="135">
        <f>F35*Assumptions!C118</f>
        <v>9970.923484</v>
      </c>
      <c r="G18" s="135">
        <f>G35*Assumptions!D118</f>
        <v>11487.46796</v>
      </c>
      <c r="H18" s="135">
        <f>H35*Assumptions!E118</f>
        <v>12969.04505</v>
      </c>
      <c r="I18" s="135">
        <f>I35*Assumptions!F118</f>
        <v>14355.33222</v>
      </c>
      <c r="J18" s="135">
        <f>J35*Assumptions!G118</f>
        <v>15642.85774</v>
      </c>
      <c r="K18" s="135">
        <f t="shared" ref="K18:O18" si="7">K35*($J$18/$J$35)</f>
        <v>16859.11752</v>
      </c>
      <c r="L18" s="135">
        <f t="shared" si="7"/>
        <v>17968.6805</v>
      </c>
      <c r="M18" s="135">
        <f t="shared" si="7"/>
        <v>18936.75901</v>
      </c>
      <c r="N18" s="135">
        <f t="shared" si="7"/>
        <v>19730.92769</v>
      </c>
      <c r="O18" s="135">
        <f t="shared" si="7"/>
        <v>20322.85552</v>
      </c>
    </row>
    <row r="19" ht="20.25" customHeight="1">
      <c r="A19" s="3" t="s">
        <v>473</v>
      </c>
      <c r="B19" s="135">
        <f>'Balance sheet'!G28</f>
        <v>17546</v>
      </c>
      <c r="C19" s="135">
        <f>'Balance sheet'!I28</f>
        <v>15086</v>
      </c>
      <c r="D19" s="135"/>
      <c r="E19" s="135">
        <f>E35*Assumptions!B123</f>
        <v>16962.79993</v>
      </c>
      <c r="F19" s="135">
        <f>F35*Assumptions!C123</f>
        <v>20490.58053</v>
      </c>
      <c r="G19" s="135">
        <f>G35*Assumptions!D123</f>
        <v>23607.13004</v>
      </c>
      <c r="H19" s="135">
        <f>H35*Assumptions!E123</f>
        <v>26651.82042</v>
      </c>
      <c r="I19" s="135">
        <f>I35*Assumptions!F123</f>
        <v>29500.68682</v>
      </c>
      <c r="J19" s="135">
        <f>J35*Assumptions!G123</f>
        <v>32146.59472</v>
      </c>
      <c r="K19" s="135">
        <f t="shared" ref="K19:O19" si="8">K35*($J$19/$J$35)</f>
        <v>34646.04916</v>
      </c>
      <c r="L19" s="135">
        <f t="shared" si="8"/>
        <v>36926.23811</v>
      </c>
      <c r="M19" s="135">
        <f t="shared" si="8"/>
        <v>38915.67176</v>
      </c>
      <c r="N19" s="135">
        <f t="shared" si="8"/>
        <v>40547.7149</v>
      </c>
      <c r="O19" s="135">
        <f t="shared" si="8"/>
        <v>41764.14635</v>
      </c>
    </row>
    <row r="20" ht="20.25" customHeight="1">
      <c r="A20" s="3" t="s">
        <v>474</v>
      </c>
      <c r="B20" s="135">
        <f>'Balance sheet'!G30</f>
        <v>10864</v>
      </c>
      <c r="C20" s="135">
        <f>'Balance sheet'!I30</f>
        <v>10599</v>
      </c>
      <c r="D20" s="135"/>
      <c r="E20" s="135">
        <f>E35*Assumptions!B128</f>
        <v>11917.58693</v>
      </c>
      <c r="F20" s="135">
        <f>F35*Assumptions!C128</f>
        <v>14396.10653</v>
      </c>
      <c r="G20" s="135">
        <f>G35*Assumptions!D128</f>
        <v>16585.7067</v>
      </c>
      <c r="H20" s="135">
        <f>H35*Assumptions!E128</f>
        <v>18724.82067</v>
      </c>
      <c r="I20" s="135">
        <f>I35*Assumptions!F128</f>
        <v>20726.35421</v>
      </c>
      <c r="J20" s="135">
        <f>J35*Assumptions!G128</f>
        <v>22585.2948</v>
      </c>
      <c r="K20" s="135">
        <f t="shared" ref="K20:O20" si="9">K35*($J$20/$J$35)</f>
        <v>24341.34132</v>
      </c>
      <c r="L20" s="135">
        <f t="shared" si="9"/>
        <v>25943.33804</v>
      </c>
      <c r="M20" s="135">
        <f t="shared" si="9"/>
        <v>27341.05826</v>
      </c>
      <c r="N20" s="135">
        <f t="shared" si="9"/>
        <v>28487.68595</v>
      </c>
      <c r="O20" s="135">
        <f t="shared" si="9"/>
        <v>29342.31653</v>
      </c>
    </row>
    <row r="21" ht="20.25" customHeight="1">
      <c r="A21" s="3" t="s">
        <v>475</v>
      </c>
      <c r="B21" s="135">
        <f>'Balance sheet'!G31</f>
        <v>6578</v>
      </c>
      <c r="C21" s="135">
        <f>'Balance sheet'!I31</f>
        <v>7154</v>
      </c>
      <c r="D21" s="135"/>
      <c r="E21" s="135">
        <f>E35*Assumptions!B133</f>
        <v>8044.005749</v>
      </c>
      <c r="F21" s="135">
        <f>F35*Assumptions!C133</f>
        <v>9716.930473</v>
      </c>
      <c r="G21" s="135">
        <f>G35*Assumptions!D133</f>
        <v>11194.84345</v>
      </c>
      <c r="H21" s="135">
        <f>H35*Assumptions!E133</f>
        <v>12638.67979</v>
      </c>
      <c r="I21" s="135">
        <f>I35*Assumptions!F133</f>
        <v>13989.65355</v>
      </c>
      <c r="J21" s="135">
        <f>J35*Assumptions!G133</f>
        <v>15244.38145</v>
      </c>
      <c r="K21" s="135">
        <f t="shared" ref="K21:O21" si="10">K35*($J$21/$J$35)</f>
        <v>16429.659</v>
      </c>
      <c r="L21" s="135">
        <f t="shared" si="10"/>
        <v>17510.95767</v>
      </c>
      <c r="M21" s="135">
        <f t="shared" si="10"/>
        <v>18454.37596</v>
      </c>
      <c r="N21" s="135">
        <f t="shared" si="10"/>
        <v>19228.31449</v>
      </c>
      <c r="O21" s="135">
        <f t="shared" si="10"/>
        <v>19805.16393</v>
      </c>
    </row>
    <row r="22" ht="20.25" customHeight="1">
      <c r="A22" s="3" t="s">
        <v>476</v>
      </c>
      <c r="B22" s="135">
        <f>'Balance sheet'!G29</f>
        <v>55557</v>
      </c>
      <c r="C22" s="135">
        <f>'Balance sheet'!I29</f>
        <v>73014</v>
      </c>
      <c r="D22" s="135"/>
      <c r="E22" s="135"/>
      <c r="F22" s="135"/>
      <c r="G22" s="135"/>
      <c r="H22" s="135"/>
      <c r="I22" s="135"/>
      <c r="J22" s="135"/>
      <c r="K22" s="136" t="s">
        <v>467</v>
      </c>
      <c r="L22" s="136" t="s">
        <v>467</v>
      </c>
      <c r="M22" s="136" t="s">
        <v>467</v>
      </c>
      <c r="N22" s="136" t="s">
        <v>467</v>
      </c>
      <c r="O22" s="136" t="s">
        <v>467</v>
      </c>
    </row>
    <row r="23" ht="20.25" customHeight="1">
      <c r="A23" s="3" t="s">
        <v>477</v>
      </c>
      <c r="B23" s="135">
        <f>SUM('Sources and basis'!D36:D41)</f>
        <v>7119</v>
      </c>
      <c r="C23" s="135">
        <f>SUM('Sources and basis'!E36:E41)</f>
        <v>11949</v>
      </c>
      <c r="D23" s="135"/>
      <c r="E23" s="135"/>
      <c r="F23" s="135"/>
      <c r="G23" s="135"/>
      <c r="H23" s="135"/>
      <c r="I23" s="135"/>
      <c r="J23" s="135"/>
      <c r="K23" s="136" t="s">
        <v>467</v>
      </c>
      <c r="L23" s="136" t="s">
        <v>467</v>
      </c>
      <c r="M23" s="136" t="s">
        <v>467</v>
      </c>
      <c r="N23" s="136" t="s">
        <v>467</v>
      </c>
      <c r="O23" s="136" t="s">
        <v>467</v>
      </c>
    </row>
    <row r="24" ht="20.25" customHeight="1">
      <c r="A24" s="3" t="s">
        <v>478</v>
      </c>
      <c r="B24" s="135">
        <f>'Sources and basis'!B86</f>
        <v>8877</v>
      </c>
      <c r="C24" s="135">
        <f>'Sources and basis'!C86</f>
        <v>16196</v>
      </c>
      <c r="D24" s="135"/>
      <c r="E24" s="135"/>
      <c r="F24" s="135"/>
      <c r="G24" s="135"/>
      <c r="H24" s="135"/>
      <c r="I24" s="135"/>
      <c r="J24" s="135"/>
      <c r="K24" s="136" t="s">
        <v>467</v>
      </c>
      <c r="L24" s="136" t="s">
        <v>467</v>
      </c>
      <c r="M24" s="136" t="s">
        <v>467</v>
      </c>
      <c r="N24" s="136" t="s">
        <v>467</v>
      </c>
      <c r="O24" s="136" t="s">
        <v>467</v>
      </c>
    </row>
    <row r="25" ht="20.25" customHeight="1">
      <c r="A25" s="3" t="s">
        <v>479</v>
      </c>
      <c r="B25" s="135">
        <f>'Sources and basis'!B85</f>
        <v>15594</v>
      </c>
      <c r="C25" s="135">
        <f>'Sources and basis'!C85</f>
        <v>17356</v>
      </c>
      <c r="D25" s="135"/>
      <c r="E25" s="135"/>
      <c r="F25" s="135"/>
      <c r="G25" s="135"/>
      <c r="H25" s="135"/>
      <c r="I25" s="135"/>
      <c r="J25" s="135"/>
      <c r="K25" s="136" t="s">
        <v>467</v>
      </c>
      <c r="L25" s="136" t="s">
        <v>467</v>
      </c>
      <c r="M25" s="136" t="s">
        <v>467</v>
      </c>
      <c r="N25" s="136" t="s">
        <v>467</v>
      </c>
      <c r="O25" s="136" t="s">
        <v>467</v>
      </c>
    </row>
    <row r="26" ht="20.25" customHeight="1">
      <c r="A26" s="3" t="s">
        <v>480</v>
      </c>
      <c r="B26" s="135">
        <f t="shared" ref="B26:C26" si="11">B22-SUM(B23:B25)</f>
        <v>23967</v>
      </c>
      <c r="C26" s="135">
        <f t="shared" si="11"/>
        <v>27513</v>
      </c>
      <c r="D26" s="135"/>
      <c r="E26" s="135">
        <f>E35*Assumptions!B138</f>
        <v>30935.80237</v>
      </c>
      <c r="F26" s="135">
        <f>F35*Assumptions!C138</f>
        <v>37369.5706</v>
      </c>
      <c r="G26" s="135">
        <f>G35*Assumptions!D138</f>
        <v>43053.35867</v>
      </c>
      <c r="H26" s="135">
        <f>H35*Assumptions!E138</f>
        <v>48606.09407</v>
      </c>
      <c r="I26" s="135">
        <f>I35*Assumptions!F138</f>
        <v>53801.6967</v>
      </c>
      <c r="J26" s="135">
        <f>J35*Assumptions!G138</f>
        <v>58627.15501</v>
      </c>
      <c r="K26" s="135">
        <f t="shared" ref="K26:O26" si="12">K35*($J$26/$J$35)</f>
        <v>63185.51973</v>
      </c>
      <c r="L26" s="135">
        <f t="shared" si="12"/>
        <v>67344.00034</v>
      </c>
      <c r="M26" s="135">
        <f t="shared" si="12"/>
        <v>70972.21776</v>
      </c>
      <c r="N26" s="135">
        <f t="shared" si="12"/>
        <v>73948.64644</v>
      </c>
      <c r="O26" s="135">
        <f t="shared" si="12"/>
        <v>76167.10583</v>
      </c>
    </row>
    <row r="27" ht="20.25" customHeight="1">
      <c r="A27" s="22" t="s">
        <v>469</v>
      </c>
      <c r="B27" s="137">
        <f t="shared" ref="B27:C27" si="13">SUM(B18:B21)+B26</f>
        <v>64942</v>
      </c>
      <c r="C27" s="137">
        <f t="shared" si="13"/>
        <v>67693</v>
      </c>
      <c r="D27" s="137"/>
      <c r="E27" s="137">
        <f t="shared" ref="E27:J27" si="14">SUM(E18:E21)+E26</f>
        <v>76114.46479</v>
      </c>
      <c r="F27" s="137">
        <f t="shared" si="14"/>
        <v>91944.11162</v>
      </c>
      <c r="G27" s="137">
        <f t="shared" si="14"/>
        <v>105928.5068</v>
      </c>
      <c r="H27" s="137">
        <f t="shared" si="14"/>
        <v>119590.46</v>
      </c>
      <c r="I27" s="137">
        <f t="shared" si="14"/>
        <v>132373.7235</v>
      </c>
      <c r="J27" s="137">
        <f t="shared" si="14"/>
        <v>144246.2837</v>
      </c>
      <c r="K27" s="137">
        <f t="shared" ref="K27:O27" si="15">SUM(K18:K21,K26)</f>
        <v>155461.6867</v>
      </c>
      <c r="L27" s="137">
        <f t="shared" si="15"/>
        <v>165693.2147</v>
      </c>
      <c r="M27" s="137">
        <f t="shared" si="15"/>
        <v>174620.0827</v>
      </c>
      <c r="N27" s="137">
        <f t="shared" si="15"/>
        <v>181943.2895</v>
      </c>
      <c r="O27" s="137">
        <f t="shared" si="15"/>
        <v>187401.5882</v>
      </c>
    </row>
    <row r="28" ht="20.25" customHeight="1">
      <c r="A28" s="3"/>
      <c r="B28" s="135"/>
      <c r="C28" s="135"/>
      <c r="D28" s="135"/>
      <c r="E28" s="135"/>
      <c r="F28" s="135"/>
      <c r="G28" s="135"/>
      <c r="H28" s="135"/>
      <c r="I28" s="135"/>
      <c r="J28" s="135"/>
      <c r="K28" s="135"/>
      <c r="L28" s="135"/>
      <c r="M28" s="135"/>
      <c r="N28" s="135"/>
      <c r="O28" s="135"/>
    </row>
    <row r="29" ht="20.25" customHeight="1">
      <c r="A29" s="22" t="s">
        <v>481</v>
      </c>
      <c r="B29" s="137">
        <f t="shared" ref="B29:C29" si="16">B13-B27</f>
        <v>14253</v>
      </c>
      <c r="C29" s="137">
        <f t="shared" si="16"/>
        <v>26257</v>
      </c>
      <c r="D29" s="137"/>
      <c r="E29" s="137">
        <f t="shared" ref="E29:J29" si="17">E13-E27</f>
        <v>29523.54752</v>
      </c>
      <c r="F29" s="137">
        <f t="shared" si="17"/>
        <v>30711.78104</v>
      </c>
      <c r="G29" s="137">
        <f t="shared" si="17"/>
        <v>29677.95919</v>
      </c>
      <c r="H29" s="137">
        <f t="shared" si="17"/>
        <v>33505.62468</v>
      </c>
      <c r="I29" s="137">
        <f t="shared" si="17"/>
        <v>37087.10792</v>
      </c>
      <c r="J29" s="137">
        <f t="shared" si="17"/>
        <v>40413.43969</v>
      </c>
      <c r="K29" s="137">
        <f t="shared" ref="K29:O29" si="18">K59-K58</f>
        <v>43555.65592</v>
      </c>
      <c r="L29" s="137">
        <f t="shared" si="18"/>
        <v>46422.22015</v>
      </c>
      <c r="M29" s="137">
        <f t="shared" si="18"/>
        <v>48923.2582</v>
      </c>
      <c r="N29" s="137">
        <f t="shared" si="18"/>
        <v>50974.99892</v>
      </c>
      <c r="O29" s="137">
        <f t="shared" si="18"/>
        <v>52504.24889</v>
      </c>
    </row>
    <row r="30" ht="20.25" customHeight="1">
      <c r="A30" s="3" t="s">
        <v>482</v>
      </c>
      <c r="B30" s="135">
        <f>'Historical base'!D71</f>
        <v>-1341</v>
      </c>
      <c r="C30" s="135">
        <f>'Historical base'!E71</f>
        <v>16001</v>
      </c>
      <c r="D30" s="135"/>
      <c r="E30" s="135"/>
      <c r="F30" s="135"/>
      <c r="G30" s="135"/>
      <c r="H30" s="135"/>
      <c r="I30" s="135"/>
      <c r="J30" s="135"/>
      <c r="K30" s="136" t="s">
        <v>467</v>
      </c>
      <c r="L30" s="136" t="s">
        <v>467</v>
      </c>
      <c r="M30" s="136" t="s">
        <v>467</v>
      </c>
      <c r="N30" s="136" t="s">
        <v>467</v>
      </c>
      <c r="O30" s="136" t="s">
        <v>467</v>
      </c>
    </row>
    <row r="31" ht="20.25" customHeight="1">
      <c r="A31" s="3" t="s">
        <v>483</v>
      </c>
      <c r="B31" s="135">
        <f t="shared" ref="B31:C31" si="19">B30-B11-B12+B25</f>
        <v>14253</v>
      </c>
      <c r="C31" s="135">
        <f t="shared" si="19"/>
        <v>26257</v>
      </c>
      <c r="D31" s="135"/>
      <c r="E31" s="135"/>
      <c r="F31" s="135"/>
      <c r="G31" s="135"/>
      <c r="H31" s="135"/>
      <c r="I31" s="135"/>
      <c r="J31" s="135"/>
      <c r="K31" s="136" t="s">
        <v>467</v>
      </c>
      <c r="L31" s="136" t="s">
        <v>467</v>
      </c>
      <c r="M31" s="136" t="s">
        <v>467</v>
      </c>
      <c r="N31" s="136" t="s">
        <v>467</v>
      </c>
      <c r="O31" s="136" t="s">
        <v>467</v>
      </c>
    </row>
    <row r="32" ht="20.25" customHeight="1">
      <c r="A32" s="3" t="s">
        <v>484</v>
      </c>
      <c r="B32" s="135">
        <f t="shared" ref="B32:C32" si="20">ROUND(B29-B31,6)</f>
        <v>0</v>
      </c>
      <c r="C32" s="135">
        <f t="shared" si="20"/>
        <v>0</v>
      </c>
      <c r="D32" s="135"/>
      <c r="E32" s="135"/>
      <c r="F32" s="135"/>
      <c r="G32" s="135"/>
      <c r="H32" s="135"/>
      <c r="I32" s="135"/>
      <c r="J32" s="135"/>
      <c r="K32" s="136" t="s">
        <v>467</v>
      </c>
      <c r="L32" s="136" t="s">
        <v>467</v>
      </c>
      <c r="M32" s="136" t="s">
        <v>467</v>
      </c>
      <c r="N32" s="136" t="s">
        <v>467</v>
      </c>
      <c r="O32" s="136" t="s">
        <v>467</v>
      </c>
    </row>
    <row r="33" ht="20.25" customHeight="1">
      <c r="A33" s="3"/>
      <c r="B33" s="135"/>
      <c r="C33" s="135"/>
      <c r="D33" s="135"/>
      <c r="E33" s="135"/>
      <c r="F33" s="135"/>
      <c r="G33" s="135"/>
      <c r="H33" s="135"/>
      <c r="I33" s="135"/>
      <c r="J33" s="135"/>
      <c r="K33" s="135"/>
      <c r="L33" s="135"/>
      <c r="M33" s="135"/>
      <c r="N33" s="135"/>
      <c r="O33" s="135"/>
    </row>
    <row r="34" ht="20.25" customHeight="1">
      <c r="A34" s="133" t="s">
        <v>485</v>
      </c>
      <c r="B34" s="134"/>
      <c r="C34" s="134"/>
      <c r="D34" s="134"/>
      <c r="E34" s="134"/>
      <c r="F34" s="134"/>
      <c r="G34" s="134"/>
      <c r="H34" s="134"/>
      <c r="I34" s="134"/>
      <c r="J34" s="134"/>
      <c r="K34" s="134"/>
      <c r="L34" s="134"/>
      <c r="M34" s="134"/>
      <c r="N34" s="134"/>
      <c r="O34" s="134"/>
    </row>
    <row r="35" ht="20.25" customHeight="1">
      <c r="A35" s="3" t="s">
        <v>486</v>
      </c>
      <c r="B35" s="135">
        <f>'Historical base'!C16</f>
        <v>402836</v>
      </c>
      <c r="C35" s="135">
        <f>'Historical base'!F16</f>
        <v>445866</v>
      </c>
      <c r="D35" s="135"/>
      <c r="E35" s="135">
        <f>'Operating forecast'!F16</f>
        <v>501334.7312</v>
      </c>
      <c r="F35" s="135">
        <f>'Operating forecast'!G16</f>
        <v>605598.116</v>
      </c>
      <c r="G35" s="135">
        <f>'Operating forecast'!H16</f>
        <v>697707.5861</v>
      </c>
      <c r="H35" s="135">
        <f>'Operating forecast'!I16</f>
        <v>787693.2628</v>
      </c>
      <c r="I35" s="135">
        <f>'Operating forecast'!J16</f>
        <v>871891.3715</v>
      </c>
      <c r="J35" s="135">
        <f>'Operating forecast'!K16</f>
        <v>950091.0513</v>
      </c>
      <c r="K35" s="135">
        <f>Transition!C9</f>
        <v>1023962.307</v>
      </c>
      <c r="L35" s="135">
        <f>Transition!D9</f>
        <v>1091353.181</v>
      </c>
      <c r="M35" s="135">
        <f>Transition!E9</f>
        <v>1150150.796</v>
      </c>
      <c r="N35" s="135">
        <f>Transition!F9</f>
        <v>1198385.752</v>
      </c>
      <c r="O35" s="135">
        <f>Transition!G9</f>
        <v>1234337.324</v>
      </c>
    </row>
    <row r="36" ht="20.25" customHeight="1">
      <c r="A36" s="3" t="s">
        <v>487</v>
      </c>
      <c r="B36" s="138">
        <f t="shared" ref="B36:C36" si="21">B8/B35*365</f>
        <v>56.97949041</v>
      </c>
      <c r="C36" s="138">
        <f t="shared" si="21"/>
        <v>56.6288414</v>
      </c>
      <c r="D36" s="138"/>
      <c r="E36" s="138">
        <f t="shared" ref="E36:O36" si="22">E8/E35*365</f>
        <v>56.6288414</v>
      </c>
      <c r="F36" s="138">
        <f t="shared" si="22"/>
        <v>56.6288414</v>
      </c>
      <c r="G36" s="138">
        <f t="shared" si="22"/>
        <v>56.6288414</v>
      </c>
      <c r="H36" s="138">
        <f t="shared" si="22"/>
        <v>56.6288414</v>
      </c>
      <c r="I36" s="138">
        <f t="shared" si="22"/>
        <v>56.6288414</v>
      </c>
      <c r="J36" s="138">
        <f t="shared" si="22"/>
        <v>56.6288414</v>
      </c>
      <c r="K36" s="138">
        <f t="shared" si="22"/>
        <v>56.6288414</v>
      </c>
      <c r="L36" s="138">
        <f t="shared" si="22"/>
        <v>56.6288414</v>
      </c>
      <c r="M36" s="138">
        <f t="shared" si="22"/>
        <v>56.6288414</v>
      </c>
      <c r="N36" s="138">
        <f t="shared" si="22"/>
        <v>56.6288414</v>
      </c>
      <c r="O36" s="138">
        <f t="shared" si="22"/>
        <v>56.6288414</v>
      </c>
    </row>
    <row r="37" ht="20.25" customHeight="1">
      <c r="A37" s="3" t="s">
        <v>488</v>
      </c>
      <c r="B37" s="139">
        <f t="shared" ref="B37:C37" si="23">B9/B35</f>
        <v>0.006054573077</v>
      </c>
      <c r="C37" s="139">
        <f t="shared" si="23"/>
        <v>0.02240807776</v>
      </c>
      <c r="D37" s="139"/>
      <c r="E37" s="139">
        <f t="shared" ref="E37:O37" si="24">E9/E35</f>
        <v>0.02240807776</v>
      </c>
      <c r="F37" s="139">
        <f t="shared" si="24"/>
        <v>0.01423132542</v>
      </c>
      <c r="G37" s="139">
        <f t="shared" si="24"/>
        <v>0.006054573077</v>
      </c>
      <c r="H37" s="139">
        <f t="shared" si="24"/>
        <v>0.006054573077</v>
      </c>
      <c r="I37" s="139">
        <f t="shared" si="24"/>
        <v>0.006054573077</v>
      </c>
      <c r="J37" s="139">
        <f t="shared" si="24"/>
        <v>0.006054573077</v>
      </c>
      <c r="K37" s="139">
        <f t="shared" si="24"/>
        <v>0.006054573077</v>
      </c>
      <c r="L37" s="139">
        <f t="shared" si="24"/>
        <v>0.006054573077</v>
      </c>
      <c r="M37" s="139">
        <f t="shared" si="24"/>
        <v>0.006054573077</v>
      </c>
      <c r="N37" s="139">
        <f t="shared" si="24"/>
        <v>0.006054573077</v>
      </c>
      <c r="O37" s="139">
        <f t="shared" si="24"/>
        <v>0.006054573077</v>
      </c>
    </row>
    <row r="38" ht="20.25" customHeight="1">
      <c r="A38" s="3" t="s">
        <v>489</v>
      </c>
      <c r="B38" s="139">
        <f t="shared" ref="B38:C38" si="25">(B10-B11-B12)/B35</f>
        <v>0.03443088503</v>
      </c>
      <c r="C38" s="139">
        <f t="shared" si="25"/>
        <v>0.03315794432</v>
      </c>
      <c r="D38" s="139"/>
      <c r="E38" s="139">
        <f t="shared" ref="E38:J38" si="26">(E10-E11-E12)/E35</f>
        <v>0.03315794432</v>
      </c>
      <c r="F38" s="139">
        <f t="shared" si="26"/>
        <v>0.03315794432</v>
      </c>
      <c r="G38" s="139">
        <f t="shared" si="26"/>
        <v>0.03315794432</v>
      </c>
      <c r="H38" s="139">
        <f t="shared" si="26"/>
        <v>0.03315794432</v>
      </c>
      <c r="I38" s="139">
        <f t="shared" si="26"/>
        <v>0.03315794432</v>
      </c>
      <c r="J38" s="139">
        <f t="shared" si="26"/>
        <v>0.03315794432</v>
      </c>
      <c r="K38" s="139">
        <f t="shared" ref="K38:O38" si="27">K10/K35</f>
        <v>0.03315794432</v>
      </c>
      <c r="L38" s="139">
        <f t="shared" si="27"/>
        <v>0.03315794432</v>
      </c>
      <c r="M38" s="139">
        <f t="shared" si="27"/>
        <v>0.03315794432</v>
      </c>
      <c r="N38" s="139">
        <f t="shared" si="27"/>
        <v>0.03315794432</v>
      </c>
      <c r="O38" s="139">
        <f t="shared" si="27"/>
        <v>0.03315794432</v>
      </c>
    </row>
    <row r="39" ht="20.25" customHeight="1">
      <c r="A39" s="3" t="s">
        <v>490</v>
      </c>
      <c r="B39" s="139">
        <f t="shared" ref="B39:C39" si="28">B18/B35</f>
        <v>0.01486212752</v>
      </c>
      <c r="C39" s="139">
        <f t="shared" si="28"/>
        <v>0.01646458802</v>
      </c>
      <c r="D39" s="139"/>
      <c r="E39" s="139">
        <f t="shared" ref="E39:O39" si="29">E18/E35</f>
        <v>0.01646458802</v>
      </c>
      <c r="F39" s="139">
        <f t="shared" si="29"/>
        <v>0.01646458802</v>
      </c>
      <c r="G39" s="139">
        <f t="shared" si="29"/>
        <v>0.01646458802</v>
      </c>
      <c r="H39" s="139">
        <f t="shared" si="29"/>
        <v>0.01646458802</v>
      </c>
      <c r="I39" s="139">
        <f t="shared" si="29"/>
        <v>0.01646458802</v>
      </c>
      <c r="J39" s="139">
        <f t="shared" si="29"/>
        <v>0.01646458802</v>
      </c>
      <c r="K39" s="139">
        <f t="shared" si="29"/>
        <v>0.01646458802</v>
      </c>
      <c r="L39" s="139">
        <f t="shared" si="29"/>
        <v>0.01646458802</v>
      </c>
      <c r="M39" s="139">
        <f t="shared" si="29"/>
        <v>0.01646458802</v>
      </c>
      <c r="N39" s="139">
        <f t="shared" si="29"/>
        <v>0.01646458802</v>
      </c>
      <c r="O39" s="139">
        <f t="shared" si="29"/>
        <v>0.01646458802</v>
      </c>
    </row>
    <row r="40" ht="20.25" customHeight="1">
      <c r="A40" s="3" t="s">
        <v>491</v>
      </c>
      <c r="B40" s="139">
        <f t="shared" ref="B40:C40" si="30">B19/B35</f>
        <v>0.04355618664</v>
      </c>
      <c r="C40" s="139">
        <f t="shared" si="30"/>
        <v>0.03383527786</v>
      </c>
      <c r="D40" s="139"/>
      <c r="E40" s="139">
        <f t="shared" ref="E40:O40" si="31">E19/E35</f>
        <v>0.03383527786</v>
      </c>
      <c r="F40" s="139">
        <f t="shared" si="31"/>
        <v>0.03383527786</v>
      </c>
      <c r="G40" s="139">
        <f t="shared" si="31"/>
        <v>0.03383527786</v>
      </c>
      <c r="H40" s="139">
        <f t="shared" si="31"/>
        <v>0.03383527786</v>
      </c>
      <c r="I40" s="139">
        <f t="shared" si="31"/>
        <v>0.03383527786</v>
      </c>
      <c r="J40" s="139">
        <f t="shared" si="31"/>
        <v>0.03383527786</v>
      </c>
      <c r="K40" s="139">
        <f t="shared" si="31"/>
        <v>0.03383527786</v>
      </c>
      <c r="L40" s="139">
        <f t="shared" si="31"/>
        <v>0.03383527786</v>
      </c>
      <c r="M40" s="139">
        <f t="shared" si="31"/>
        <v>0.03383527786</v>
      </c>
      <c r="N40" s="139">
        <f t="shared" si="31"/>
        <v>0.03383527786</v>
      </c>
      <c r="O40" s="139">
        <f t="shared" si="31"/>
        <v>0.03383527786</v>
      </c>
    </row>
    <row r="41" ht="20.25" customHeight="1">
      <c r="A41" s="3" t="s">
        <v>492</v>
      </c>
      <c r="B41" s="139">
        <f t="shared" ref="B41:C41" si="32">B20/B35</f>
        <v>0.02696879127</v>
      </c>
      <c r="C41" s="139">
        <f t="shared" si="32"/>
        <v>0.02377171617</v>
      </c>
      <c r="D41" s="139"/>
      <c r="E41" s="139">
        <f t="shared" ref="E41:O41" si="33">E20/E35</f>
        <v>0.02377171617</v>
      </c>
      <c r="F41" s="139">
        <f t="shared" si="33"/>
        <v>0.02377171617</v>
      </c>
      <c r="G41" s="139">
        <f t="shared" si="33"/>
        <v>0.02377171617</v>
      </c>
      <c r="H41" s="139">
        <f t="shared" si="33"/>
        <v>0.02377171617</v>
      </c>
      <c r="I41" s="139">
        <f t="shared" si="33"/>
        <v>0.02377171617</v>
      </c>
      <c r="J41" s="139">
        <f t="shared" si="33"/>
        <v>0.02377171617</v>
      </c>
      <c r="K41" s="139">
        <f t="shared" si="33"/>
        <v>0.02377171617</v>
      </c>
      <c r="L41" s="139">
        <f t="shared" si="33"/>
        <v>0.02377171617</v>
      </c>
      <c r="M41" s="139">
        <f t="shared" si="33"/>
        <v>0.02377171617</v>
      </c>
      <c r="N41" s="139">
        <f t="shared" si="33"/>
        <v>0.02377171617</v>
      </c>
      <c r="O41" s="139">
        <f t="shared" si="33"/>
        <v>0.02377171617</v>
      </c>
    </row>
    <row r="42" ht="20.25" customHeight="1">
      <c r="A42" s="3" t="s">
        <v>493</v>
      </c>
      <c r="B42" s="139">
        <f t="shared" ref="B42:C42" si="34">B21/B35</f>
        <v>0.01632922579</v>
      </c>
      <c r="C42" s="139">
        <f t="shared" si="34"/>
        <v>0.01604517949</v>
      </c>
      <c r="D42" s="139"/>
      <c r="E42" s="139">
        <f t="shared" ref="E42:O42" si="35">E21/E35</f>
        <v>0.01604517949</v>
      </c>
      <c r="F42" s="139">
        <f t="shared" si="35"/>
        <v>0.01604517949</v>
      </c>
      <c r="G42" s="139">
        <f t="shared" si="35"/>
        <v>0.01604517949</v>
      </c>
      <c r="H42" s="139">
        <f t="shared" si="35"/>
        <v>0.01604517949</v>
      </c>
      <c r="I42" s="139">
        <f t="shared" si="35"/>
        <v>0.01604517949</v>
      </c>
      <c r="J42" s="139">
        <f t="shared" si="35"/>
        <v>0.01604517949</v>
      </c>
      <c r="K42" s="139">
        <f t="shared" si="35"/>
        <v>0.01604517949</v>
      </c>
      <c r="L42" s="139">
        <f t="shared" si="35"/>
        <v>0.01604517949</v>
      </c>
      <c r="M42" s="139">
        <f t="shared" si="35"/>
        <v>0.01604517949</v>
      </c>
      <c r="N42" s="139">
        <f t="shared" si="35"/>
        <v>0.01604517949</v>
      </c>
      <c r="O42" s="139">
        <f t="shared" si="35"/>
        <v>0.01604517949</v>
      </c>
    </row>
    <row r="43" ht="20.25" customHeight="1">
      <c r="A43" s="3" t="s">
        <v>494</v>
      </c>
      <c r="B43" s="139">
        <f t="shared" ref="B43:C43" si="36">B26/B35</f>
        <v>0.05949567566</v>
      </c>
      <c r="C43" s="139">
        <f t="shared" si="36"/>
        <v>0.06170688054</v>
      </c>
      <c r="D43" s="139"/>
      <c r="E43" s="139">
        <f t="shared" ref="E43:O43" si="37">E26/E35</f>
        <v>0.06170688054</v>
      </c>
      <c r="F43" s="139">
        <f t="shared" si="37"/>
        <v>0.06170688054</v>
      </c>
      <c r="G43" s="139">
        <f t="shared" si="37"/>
        <v>0.06170688054</v>
      </c>
      <c r="H43" s="139">
        <f t="shared" si="37"/>
        <v>0.06170688054</v>
      </c>
      <c r="I43" s="139">
        <f t="shared" si="37"/>
        <v>0.06170688054</v>
      </c>
      <c r="J43" s="139">
        <f t="shared" si="37"/>
        <v>0.06170688054</v>
      </c>
      <c r="K43" s="139">
        <f t="shared" si="37"/>
        <v>0.06170688054</v>
      </c>
      <c r="L43" s="139">
        <f t="shared" si="37"/>
        <v>0.06170688054</v>
      </c>
      <c r="M43" s="139">
        <f t="shared" si="37"/>
        <v>0.06170688054</v>
      </c>
      <c r="N43" s="139">
        <f t="shared" si="37"/>
        <v>0.06170688054</v>
      </c>
      <c r="O43" s="139">
        <f t="shared" si="37"/>
        <v>0.06170688054</v>
      </c>
    </row>
    <row r="44" ht="20.25" customHeight="1">
      <c r="A44" s="3" t="s">
        <v>495</v>
      </c>
      <c r="B44" s="139">
        <f t="shared" ref="B44:C44" si="38">B29/B35</f>
        <v>0.03538164414</v>
      </c>
      <c r="C44" s="139">
        <f t="shared" si="38"/>
        <v>0.05888989068</v>
      </c>
      <c r="D44" s="139"/>
      <c r="E44" s="139">
        <f t="shared" ref="E44:O44" si="39">E29/E35</f>
        <v>0.05888989068</v>
      </c>
      <c r="F44" s="139">
        <f t="shared" si="39"/>
        <v>0.05071313834</v>
      </c>
      <c r="G44" s="139">
        <f t="shared" si="39"/>
        <v>0.042536386</v>
      </c>
      <c r="H44" s="139">
        <f t="shared" si="39"/>
        <v>0.042536386</v>
      </c>
      <c r="I44" s="139">
        <f t="shared" si="39"/>
        <v>0.042536386</v>
      </c>
      <c r="J44" s="139">
        <f t="shared" si="39"/>
        <v>0.042536386</v>
      </c>
      <c r="K44" s="139">
        <f t="shared" si="39"/>
        <v>0.042536386</v>
      </c>
      <c r="L44" s="139">
        <f t="shared" si="39"/>
        <v>0.042536386</v>
      </c>
      <c r="M44" s="139">
        <f t="shared" si="39"/>
        <v>0.042536386</v>
      </c>
      <c r="N44" s="139">
        <f t="shared" si="39"/>
        <v>0.042536386</v>
      </c>
      <c r="O44" s="139">
        <f t="shared" si="39"/>
        <v>0.042536386</v>
      </c>
    </row>
    <row r="45" ht="20.25" customHeight="1">
      <c r="A45" s="3"/>
      <c r="B45" s="135"/>
      <c r="C45" s="135"/>
      <c r="D45" s="135"/>
      <c r="E45" s="135"/>
      <c r="F45" s="135"/>
      <c r="G45" s="135"/>
      <c r="H45" s="135"/>
      <c r="I45" s="135"/>
      <c r="J45" s="135"/>
      <c r="K45" s="135"/>
      <c r="L45" s="135"/>
      <c r="M45" s="135"/>
      <c r="N45" s="135"/>
      <c r="O45" s="135"/>
    </row>
    <row r="46" ht="20.25" customHeight="1">
      <c r="A46" s="133" t="s">
        <v>496</v>
      </c>
      <c r="B46" s="134"/>
      <c r="C46" s="134"/>
      <c r="D46" s="134"/>
      <c r="E46" s="134"/>
      <c r="F46" s="134"/>
      <c r="G46" s="134"/>
      <c r="H46" s="134"/>
      <c r="I46" s="134"/>
      <c r="J46" s="134"/>
      <c r="K46" s="134"/>
      <c r="L46" s="134"/>
      <c r="M46" s="134"/>
      <c r="N46" s="134"/>
      <c r="O46" s="134"/>
    </row>
    <row r="47" ht="20.25" customHeight="1">
      <c r="A47" s="3" t="s">
        <v>497</v>
      </c>
      <c r="B47" s="135"/>
      <c r="C47" s="135"/>
      <c r="D47" s="135"/>
      <c r="E47" s="135">
        <f>C29</f>
        <v>26257</v>
      </c>
      <c r="F47" s="135">
        <f t="shared" ref="F47:O47" si="40">E29</f>
        <v>29523.54752</v>
      </c>
      <c r="G47" s="135">
        <f t="shared" si="40"/>
        <v>30711.78104</v>
      </c>
      <c r="H47" s="135">
        <f t="shared" si="40"/>
        <v>29677.95919</v>
      </c>
      <c r="I47" s="135">
        <f t="shared" si="40"/>
        <v>33505.62468</v>
      </c>
      <c r="J47" s="135">
        <f t="shared" si="40"/>
        <v>37087.10792</v>
      </c>
      <c r="K47" s="135">
        <f t="shared" si="40"/>
        <v>40413.43969</v>
      </c>
      <c r="L47" s="135">
        <f t="shared" si="40"/>
        <v>43555.65592</v>
      </c>
      <c r="M47" s="135">
        <f t="shared" si="40"/>
        <v>46422.22015</v>
      </c>
      <c r="N47" s="135">
        <f t="shared" si="40"/>
        <v>48923.2582</v>
      </c>
      <c r="O47" s="135">
        <f t="shared" si="40"/>
        <v>50974.99892</v>
      </c>
    </row>
    <row r="48" ht="20.25" customHeight="1">
      <c r="A48" s="22" t="s">
        <v>498</v>
      </c>
      <c r="B48" s="137"/>
      <c r="C48" s="137"/>
      <c r="D48" s="137"/>
      <c r="E48" s="137">
        <f t="shared" ref="E48:O48" si="41">E29-E47</f>
        <v>3266.547518</v>
      </c>
      <c r="F48" s="137">
        <f t="shared" si="41"/>
        <v>1188.233521</v>
      </c>
      <c r="G48" s="137">
        <f t="shared" si="41"/>
        <v>-1033.821844</v>
      </c>
      <c r="H48" s="137">
        <f t="shared" si="41"/>
        <v>3827.66548</v>
      </c>
      <c r="I48" s="137">
        <f t="shared" si="41"/>
        <v>3581.483249</v>
      </c>
      <c r="J48" s="137">
        <f t="shared" si="41"/>
        <v>3326.331769</v>
      </c>
      <c r="K48" s="137">
        <f t="shared" si="41"/>
        <v>3142.216225</v>
      </c>
      <c r="L48" s="137">
        <f t="shared" si="41"/>
        <v>2866.564229</v>
      </c>
      <c r="M48" s="137">
        <f t="shared" si="41"/>
        <v>2501.038055</v>
      </c>
      <c r="N48" s="137">
        <f t="shared" si="41"/>
        <v>2051.740716</v>
      </c>
      <c r="O48" s="137">
        <f t="shared" si="41"/>
        <v>1529.249968</v>
      </c>
    </row>
    <row r="49" ht="20.25" customHeight="1">
      <c r="A49" s="3"/>
      <c r="B49" s="135"/>
      <c r="C49" s="135"/>
      <c r="D49" s="135"/>
      <c r="E49" s="135"/>
      <c r="F49" s="135"/>
      <c r="G49" s="135"/>
      <c r="H49" s="135"/>
      <c r="I49" s="135"/>
      <c r="J49" s="135"/>
    </row>
    <row r="50" ht="20.25" customHeight="1">
      <c r="A50" s="3"/>
      <c r="B50" s="135"/>
      <c r="C50" s="135"/>
      <c r="D50" s="135"/>
      <c r="E50" s="135"/>
      <c r="F50" s="135"/>
      <c r="G50" s="135"/>
      <c r="H50" s="135"/>
      <c r="I50" s="135"/>
      <c r="J50" s="135"/>
    </row>
    <row r="51" ht="31.5" customHeight="1">
      <c r="A51" s="2" t="s">
        <v>499</v>
      </c>
    </row>
    <row r="52" ht="31.5" customHeight="1">
      <c r="A52" s="55" t="s">
        <v>500</v>
      </c>
    </row>
    <row r="53" ht="31.5" customHeight="1">
      <c r="A53" s="55" t="s">
        <v>501</v>
      </c>
    </row>
    <row r="54" ht="31.5" customHeight="1">
      <c r="A54" s="55" t="s">
        <v>502</v>
      </c>
    </row>
    <row r="55" ht="31.5" customHeight="1">
      <c r="A55" s="2" t="s">
        <v>503</v>
      </c>
    </row>
    <row r="57">
      <c r="A57" s="113" t="s">
        <v>504</v>
      </c>
    </row>
    <row r="58">
      <c r="A58" s="24" t="s">
        <v>505</v>
      </c>
      <c r="B58" s="140">
        <f>B35*'Financial assets'!$B$30</f>
        <v>8056.72</v>
      </c>
      <c r="C58" s="140">
        <f>C35*'Financial assets'!$B$30</f>
        <v>8917.32</v>
      </c>
      <c r="D58" s="140"/>
      <c r="E58" s="140">
        <f>E35*'Financial assets'!$B$30</f>
        <v>10026.69462</v>
      </c>
      <c r="F58" s="140">
        <f>F35*'Financial assets'!$B$30</f>
        <v>12111.96232</v>
      </c>
      <c r="G58" s="140">
        <f>G35*'Financial assets'!$B$30</f>
        <v>13954.15172</v>
      </c>
      <c r="H58" s="140">
        <f>H35*'Financial assets'!$B$30</f>
        <v>15753.86526</v>
      </c>
      <c r="I58" s="140">
        <f>I35*'Financial assets'!$B$30</f>
        <v>17437.82743</v>
      </c>
      <c r="J58" s="140">
        <f>J35*'Financial assets'!$B$30</f>
        <v>19001.82103</v>
      </c>
      <c r="K58" s="140">
        <f t="shared" ref="K58:O58" si="42">K35*($J$58/$J$35)</f>
        <v>20479.24613</v>
      </c>
      <c r="L58" s="140">
        <f t="shared" si="42"/>
        <v>21827.06361</v>
      </c>
      <c r="M58" s="140">
        <f t="shared" si="42"/>
        <v>23003.01591</v>
      </c>
      <c r="N58" s="140">
        <f t="shared" si="42"/>
        <v>23967.71504</v>
      </c>
      <c r="O58" s="140">
        <f t="shared" si="42"/>
        <v>24686.74649</v>
      </c>
    </row>
    <row r="59">
      <c r="A59" s="24" t="s">
        <v>506</v>
      </c>
      <c r="B59" s="140">
        <f t="shared" ref="B59:C59" si="43">B29+B58</f>
        <v>22309.72</v>
      </c>
      <c r="C59" s="140">
        <f t="shared" si="43"/>
        <v>35174.32</v>
      </c>
      <c r="D59" s="140"/>
      <c r="E59" s="140">
        <f t="shared" ref="E59:J59" si="44">E29+E58</f>
        <v>39550.24214</v>
      </c>
      <c r="F59" s="140">
        <f t="shared" si="44"/>
        <v>42823.74336</v>
      </c>
      <c r="G59" s="140">
        <f t="shared" si="44"/>
        <v>43632.11092</v>
      </c>
      <c r="H59" s="140">
        <f t="shared" si="44"/>
        <v>49259.48993</v>
      </c>
      <c r="I59" s="140">
        <f t="shared" si="44"/>
        <v>54524.93535</v>
      </c>
      <c r="J59" s="140">
        <f t="shared" si="44"/>
        <v>59415.26072</v>
      </c>
      <c r="K59" s="140">
        <f>'Capital and FCFF'!H35</f>
        <v>64034.90205</v>
      </c>
      <c r="L59" s="140">
        <f>'Capital and FCFF'!I35</f>
        <v>68249.28376</v>
      </c>
      <c r="M59" s="140">
        <f>'Capital and FCFF'!J35</f>
        <v>71926.27412</v>
      </c>
      <c r="N59" s="140">
        <f>'Capital and FCFF'!K35</f>
        <v>74942.71396</v>
      </c>
      <c r="O59" s="140">
        <f>'Capital and FCFF'!L35</f>
        <v>77190.99538</v>
      </c>
    </row>
    <row r="60">
      <c r="A60" s="24" t="s">
        <v>507</v>
      </c>
      <c r="B60" s="140"/>
      <c r="C60" s="140"/>
      <c r="D60" s="140"/>
      <c r="E60" s="140">
        <f>C58</f>
        <v>8917.32</v>
      </c>
      <c r="F60" s="140">
        <f t="shared" ref="F60:O60" si="45">E58</f>
        <v>10026.69462</v>
      </c>
      <c r="G60" s="140">
        <f t="shared" si="45"/>
        <v>12111.96232</v>
      </c>
      <c r="H60" s="140">
        <f t="shared" si="45"/>
        <v>13954.15172</v>
      </c>
      <c r="I60" s="140">
        <f t="shared" si="45"/>
        <v>15753.86526</v>
      </c>
      <c r="J60" s="140">
        <f t="shared" si="45"/>
        <v>17437.82743</v>
      </c>
      <c r="K60" s="140">
        <f t="shared" si="45"/>
        <v>19001.82103</v>
      </c>
      <c r="L60" s="140">
        <f t="shared" si="45"/>
        <v>20479.24613</v>
      </c>
      <c r="M60" s="140">
        <f t="shared" si="45"/>
        <v>21827.06361</v>
      </c>
      <c r="N60" s="140">
        <f t="shared" si="45"/>
        <v>23003.01591</v>
      </c>
      <c r="O60" s="140">
        <f t="shared" si="45"/>
        <v>23967.71504</v>
      </c>
    </row>
    <row r="61">
      <c r="A61" s="24" t="s">
        <v>508</v>
      </c>
      <c r="B61" s="140"/>
      <c r="C61" s="140"/>
      <c r="D61" s="140"/>
      <c r="E61" s="140">
        <f t="shared" ref="E61:O61" si="46">E58-E60</f>
        <v>1109.374624</v>
      </c>
      <c r="F61" s="140">
        <f t="shared" si="46"/>
        <v>2085.267697</v>
      </c>
      <c r="G61" s="140">
        <f t="shared" si="46"/>
        <v>1842.1894</v>
      </c>
      <c r="H61" s="140">
        <f t="shared" si="46"/>
        <v>1799.713535</v>
      </c>
      <c r="I61" s="140">
        <f t="shared" si="46"/>
        <v>1683.962173</v>
      </c>
      <c r="J61" s="140">
        <f t="shared" si="46"/>
        <v>1563.993598</v>
      </c>
      <c r="K61" s="140">
        <f t="shared" si="46"/>
        <v>1477.425104</v>
      </c>
      <c r="L61" s="140">
        <f t="shared" si="46"/>
        <v>1347.81748</v>
      </c>
      <c r="M61" s="140">
        <f t="shared" si="46"/>
        <v>1175.952303</v>
      </c>
      <c r="N61" s="140">
        <f t="shared" si="46"/>
        <v>964.6991242</v>
      </c>
      <c r="O61" s="140">
        <f t="shared" si="46"/>
        <v>719.0314511</v>
      </c>
    </row>
    <row r="62">
      <c r="A62" s="24" t="s">
        <v>509</v>
      </c>
      <c r="B62" s="140"/>
      <c r="C62" s="140"/>
      <c r="D62" s="140"/>
      <c r="E62" s="140">
        <f t="shared" ref="E62:J62" si="47">E48+E61</f>
        <v>4375.922142</v>
      </c>
      <c r="F62" s="140">
        <f t="shared" si="47"/>
        <v>3273.501218</v>
      </c>
      <c r="G62" s="140">
        <f t="shared" si="47"/>
        <v>808.3675568</v>
      </c>
      <c r="H62" s="140">
        <f t="shared" si="47"/>
        <v>5627.379015</v>
      </c>
      <c r="I62" s="140">
        <f t="shared" si="47"/>
        <v>5265.445422</v>
      </c>
      <c r="J62" s="140">
        <f t="shared" si="47"/>
        <v>4890.325367</v>
      </c>
      <c r="K62" s="140">
        <f>'Capital and FCFF'!H37</f>
        <v>4619.641329</v>
      </c>
      <c r="L62" s="140">
        <f>'Capital and FCFF'!I37</f>
        <v>4214.381709</v>
      </c>
      <c r="M62" s="140">
        <f>'Capital and FCFF'!J37</f>
        <v>3676.990358</v>
      </c>
      <c r="N62" s="140">
        <f>'Capital and FCFF'!K37</f>
        <v>3016.43984</v>
      </c>
      <c r="O62" s="140">
        <f>'Capital and FCFF'!L37</f>
        <v>2248.281419</v>
      </c>
    </row>
    <row r="64" ht="31.5" customHeight="1">
      <c r="A64" s="141" t="s">
        <v>510</v>
      </c>
    </row>
    <row r="65" ht="31.5" customHeight="1">
      <c r="A65" s="141" t="s">
        <v>511</v>
      </c>
    </row>
    <row r="67" ht="25.5" customHeight="1">
      <c r="A67" s="142" t="s">
        <v>512</v>
      </c>
    </row>
    <row r="68" ht="25.5" customHeight="1">
      <c r="A68" s="142" t="s">
        <v>513</v>
      </c>
      <c r="K68" s="140">
        <f t="shared" ref="K68:O68" si="48">ROUND(K48+K61-K62,6)</f>
        <v>0</v>
      </c>
      <c r="L68" s="140">
        <f t="shared" si="48"/>
        <v>0</v>
      </c>
      <c r="M68" s="140">
        <f t="shared" si="48"/>
        <v>0</v>
      </c>
      <c r="N68" s="140">
        <f t="shared" si="48"/>
        <v>0</v>
      </c>
      <c r="O68" s="140">
        <f t="shared" si="48"/>
        <v>0</v>
      </c>
    </row>
    <row r="69" ht="25.5" customHeight="1">
      <c r="A69" s="142" t="s">
        <v>514</v>
      </c>
      <c r="K69" s="140">
        <f t="shared" ref="K69:O69" si="49">ROUND(K13-K27-K29,6)</f>
        <v>0</v>
      </c>
      <c r="L69" s="140">
        <f t="shared" si="49"/>
        <v>0</v>
      </c>
      <c r="M69" s="140">
        <f t="shared" si="49"/>
        <v>0</v>
      </c>
      <c r="N69" s="140">
        <f t="shared" si="49"/>
        <v>0</v>
      </c>
      <c r="O69" s="140">
        <f t="shared" si="49"/>
        <v>0</v>
      </c>
    </row>
  </sheetData>
  <mergeCells count="11">
    <mergeCell ref="A57:J57"/>
    <mergeCell ref="A64:J64"/>
    <mergeCell ref="A65:J65"/>
    <mergeCell ref="A1:J1"/>
    <mergeCell ref="A2:J2"/>
    <mergeCell ref="A51:J51"/>
    <mergeCell ref="A52:J52"/>
    <mergeCell ref="A53:J53"/>
    <mergeCell ref="A54:J54"/>
    <mergeCell ref="A55:J55"/>
    <mergeCell ref="K4:O5"/>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12" width="15.13"/>
  </cols>
  <sheetData>
    <row r="1" ht="19.5" customHeight="1">
      <c r="A1" s="1" t="s">
        <v>515</v>
      </c>
    </row>
    <row r="2" ht="34.5" customHeight="1">
      <c r="A2" s="55" t="s">
        <v>516</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517</v>
      </c>
      <c r="B6" s="6" t="s">
        <v>49</v>
      </c>
      <c r="C6" s="58" t="s">
        <v>50</v>
      </c>
      <c r="D6" s="58" t="s">
        <v>51</v>
      </c>
      <c r="E6" s="58" t="s">
        <v>52</v>
      </c>
      <c r="F6" s="58" t="s">
        <v>53</v>
      </c>
      <c r="G6" s="58" t="s">
        <v>54</v>
      </c>
      <c r="H6" s="58" t="s">
        <v>518</v>
      </c>
      <c r="I6" s="58" t="s">
        <v>519</v>
      </c>
      <c r="J6" s="58" t="s">
        <v>520</v>
      </c>
      <c r="K6" s="58" t="s">
        <v>521</v>
      </c>
      <c r="L6" s="58" t="s">
        <v>522</v>
      </c>
    </row>
    <row r="7" ht="19.5" customHeight="1">
      <c r="A7" s="3" t="s">
        <v>523</v>
      </c>
      <c r="B7" s="143">
        <v>0.5</v>
      </c>
      <c r="C7" s="143">
        <v>1.0</v>
      </c>
      <c r="D7" s="143">
        <v>1.0</v>
      </c>
      <c r="E7" s="143">
        <v>1.0</v>
      </c>
      <c r="F7" s="143">
        <v>1.0</v>
      </c>
      <c r="G7" s="143">
        <v>1.0</v>
      </c>
      <c r="H7" s="143">
        <v>1.0</v>
      </c>
      <c r="I7" s="143">
        <v>1.0</v>
      </c>
      <c r="J7" s="143">
        <v>1.0</v>
      </c>
      <c r="K7" s="143">
        <v>1.0</v>
      </c>
      <c r="L7" s="143">
        <v>1.0</v>
      </c>
    </row>
    <row r="8" ht="19.5" customHeight="1">
      <c r="A8" s="3" t="s">
        <v>524</v>
      </c>
      <c r="B8" s="144">
        <f>B7</f>
        <v>0.5</v>
      </c>
      <c r="C8" s="144">
        <f t="shared" ref="C8:L8" si="1">B8+C7</f>
        <v>1.5</v>
      </c>
      <c r="D8" s="144">
        <f t="shared" si="1"/>
        <v>2.5</v>
      </c>
      <c r="E8" s="144">
        <f t="shared" si="1"/>
        <v>3.5</v>
      </c>
      <c r="F8" s="144">
        <f t="shared" si="1"/>
        <v>4.5</v>
      </c>
      <c r="G8" s="144">
        <f t="shared" si="1"/>
        <v>5.5</v>
      </c>
      <c r="H8" s="144">
        <f t="shared" si="1"/>
        <v>6.5</v>
      </c>
      <c r="I8" s="144">
        <f t="shared" si="1"/>
        <v>7.5</v>
      </c>
      <c r="J8" s="144">
        <f t="shared" si="1"/>
        <v>8.5</v>
      </c>
      <c r="K8" s="144">
        <f t="shared" si="1"/>
        <v>9.5</v>
      </c>
      <c r="L8" s="144">
        <f t="shared" si="1"/>
        <v>10.5</v>
      </c>
    </row>
    <row r="9" ht="19.5" customHeight="1">
      <c r="A9" s="25" t="s">
        <v>525</v>
      </c>
      <c r="B9" s="25"/>
      <c r="C9" s="25"/>
      <c r="D9" s="25"/>
      <c r="E9" s="25"/>
      <c r="F9" s="25"/>
      <c r="G9" s="25"/>
      <c r="H9" s="25"/>
      <c r="I9" s="25"/>
      <c r="J9" s="25"/>
      <c r="K9" s="25"/>
      <c r="L9" s="25"/>
    </row>
    <row r="10" ht="19.5" customHeight="1">
      <c r="A10" s="3" t="s">
        <v>526</v>
      </c>
      <c r="B10" s="4">
        <f>Assumptions!B93</f>
        <v>119402</v>
      </c>
      <c r="C10" s="4">
        <f>'Cloud demand'!C31*Assumptions!C57</f>
        <v>212413.9759</v>
      </c>
      <c r="D10" s="4">
        <f>'Cloud demand'!D31*Assumptions!D57</f>
        <v>209722.855</v>
      </c>
      <c r="E10" s="4">
        <f>'Cloud demand'!E31*Assumptions!E57</f>
        <v>213367.426</v>
      </c>
      <c r="F10" s="4">
        <f>'Cloud demand'!F31*Assumptions!F57</f>
        <v>210183.7207</v>
      </c>
      <c r="G10" s="4">
        <f>'Cloud demand'!G31*Assumptions!G57</f>
        <v>210118.6171</v>
      </c>
      <c r="H10" s="4">
        <f t="shared" ref="H10:L10" si="2">H95</f>
        <v>202967.1134</v>
      </c>
      <c r="I10" s="4">
        <f t="shared" si="2"/>
        <v>211127.465</v>
      </c>
      <c r="J10" s="4">
        <f t="shared" si="2"/>
        <v>201959.6673</v>
      </c>
      <c r="K10" s="4">
        <f t="shared" si="2"/>
        <v>195589.9997</v>
      </c>
      <c r="L10" s="4">
        <f t="shared" si="2"/>
        <v>185755.0802</v>
      </c>
    </row>
    <row r="11" ht="19.5" customHeight="1">
      <c r="A11" s="3" t="s">
        <v>527</v>
      </c>
      <c r="B11" s="21">
        <f t="shared" ref="B11:L11" si="3">SUM(B21:B22,B78:B88)</f>
        <v>19839.8</v>
      </c>
      <c r="C11" s="21">
        <f t="shared" si="3"/>
        <v>39679.6</v>
      </c>
      <c r="D11" s="21">
        <f t="shared" si="3"/>
        <v>39679.6</v>
      </c>
      <c r="E11" s="21">
        <f t="shared" si="3"/>
        <v>23146.43333</v>
      </c>
      <c r="F11" s="21">
        <f t="shared" si="3"/>
        <v>6613.266667</v>
      </c>
      <c r="G11" s="21">
        <f t="shared" si="3"/>
        <v>39465.96667</v>
      </c>
      <c r="H11" s="21">
        <f t="shared" si="3"/>
        <v>112333.9223</v>
      </c>
      <c r="I11" s="21">
        <f t="shared" si="3"/>
        <v>124886.1585</v>
      </c>
      <c r="J11" s="21">
        <f t="shared" si="3"/>
        <v>130078.674</v>
      </c>
      <c r="K11" s="21">
        <f t="shared" si="3"/>
        <v>132238.636</v>
      </c>
      <c r="L11" s="21">
        <f t="shared" si="3"/>
        <v>132517.8352</v>
      </c>
    </row>
    <row r="12" ht="19.5" customHeight="1">
      <c r="A12" s="22" t="s">
        <v>376</v>
      </c>
      <c r="B12" s="116">
        <f>B10</f>
        <v>119402</v>
      </c>
      <c r="C12" s="116">
        <f t="shared" ref="C12:G12" si="4">MAX(C10,C11)</f>
        <v>212413.9759</v>
      </c>
      <c r="D12" s="116">
        <f t="shared" si="4"/>
        <v>209722.855</v>
      </c>
      <c r="E12" s="116">
        <f t="shared" si="4"/>
        <v>213367.426</v>
      </c>
      <c r="F12" s="116">
        <f t="shared" si="4"/>
        <v>210183.7207</v>
      </c>
      <c r="G12" s="116">
        <f t="shared" si="4"/>
        <v>210118.6171</v>
      </c>
      <c r="H12" s="116">
        <f t="shared" ref="H12:L12" si="5">H10</f>
        <v>202967.1134</v>
      </c>
      <c r="I12" s="116">
        <f t="shared" si="5"/>
        <v>211127.465</v>
      </c>
      <c r="J12" s="116">
        <f t="shared" si="5"/>
        <v>201959.6673</v>
      </c>
      <c r="K12" s="116">
        <f t="shared" si="5"/>
        <v>195589.9997</v>
      </c>
      <c r="L12" s="116">
        <f t="shared" si="5"/>
        <v>185755.0802</v>
      </c>
    </row>
    <row r="13" ht="19.5" customHeight="1">
      <c r="A13" s="3" t="s">
        <v>528</v>
      </c>
      <c r="B13" s="4">
        <f>'Historical base'!E74</f>
        <v>122814</v>
      </c>
      <c r="C13" s="21">
        <f t="shared" ref="C13:L13" si="6">B15</f>
        <v>187461.5</v>
      </c>
      <c r="D13" s="21">
        <f t="shared" si="6"/>
        <v>223674.3831</v>
      </c>
      <c r="E13" s="21">
        <f t="shared" si="6"/>
        <v>236275.7518</v>
      </c>
      <c r="F13" s="21">
        <f t="shared" si="6"/>
        <v>243867.4989</v>
      </c>
      <c r="G13" s="21">
        <f t="shared" si="6"/>
        <v>244675.6041</v>
      </c>
      <c r="H13" s="21">
        <f t="shared" si="6"/>
        <v>244953.2736</v>
      </c>
      <c r="I13" s="21">
        <f t="shared" si="6"/>
        <v>241187.9007</v>
      </c>
      <c r="J13" s="21">
        <f t="shared" si="6"/>
        <v>244264.3858</v>
      </c>
      <c r="K13" s="21">
        <f t="shared" si="6"/>
        <v>240274.4901</v>
      </c>
      <c r="L13" s="21">
        <f t="shared" si="6"/>
        <v>234696.2638</v>
      </c>
    </row>
    <row r="14" ht="19.5" customHeight="1">
      <c r="A14" s="3" t="s">
        <v>529</v>
      </c>
      <c r="B14" s="4">
        <f>MIN(B13+B12,(B13+0.5*B12)*Assumptions!B62*B7)</f>
        <v>54754.5</v>
      </c>
      <c r="C14" s="4">
        <f>MIN(C13+C12,(C13+0.5*C12)*Assumptions!C62*C7)</f>
        <v>176201.0928</v>
      </c>
      <c r="D14" s="4">
        <f>MIN(D13+D12,(D13+0.5*D12)*Assumptions!D62*D7)</f>
        <v>197121.4864</v>
      </c>
      <c r="E14" s="4">
        <f>MIN(E13+E12,(E13+0.5*E12)*Assumptions!E62*E7)</f>
        <v>205775.6789</v>
      </c>
      <c r="F14" s="4">
        <f>MIN(F13+F12,(F13+0.5*F12)*Assumptions!F62*F7)</f>
        <v>209375.6156</v>
      </c>
      <c r="G14" s="4">
        <f>MIN(G13+G12,(G13+0.5*G12)*Assumptions!G62*G7)</f>
        <v>209840.9476</v>
      </c>
      <c r="H14" s="4">
        <f t="shared" ref="H14:L14" si="7">H94</f>
        <v>206732.4863</v>
      </c>
      <c r="I14" s="4">
        <f t="shared" si="7"/>
        <v>208050.9799</v>
      </c>
      <c r="J14" s="4">
        <f t="shared" si="7"/>
        <v>205949.563</v>
      </c>
      <c r="K14" s="4">
        <f t="shared" si="7"/>
        <v>201168.2261</v>
      </c>
      <c r="L14" s="4">
        <f t="shared" si="7"/>
        <v>194054.4665</v>
      </c>
    </row>
    <row r="15" ht="19.5" customHeight="1">
      <c r="A15" s="22" t="s">
        <v>530</v>
      </c>
      <c r="B15" s="116">
        <f t="shared" ref="B15:L15" si="8">B13+B12-B14</f>
        <v>187461.5</v>
      </c>
      <c r="C15" s="116">
        <f t="shared" si="8"/>
        <v>223674.3831</v>
      </c>
      <c r="D15" s="116">
        <f t="shared" si="8"/>
        <v>236275.7518</v>
      </c>
      <c r="E15" s="116">
        <f t="shared" si="8"/>
        <v>243867.4989</v>
      </c>
      <c r="F15" s="116">
        <f t="shared" si="8"/>
        <v>244675.6041</v>
      </c>
      <c r="G15" s="116">
        <f t="shared" si="8"/>
        <v>244953.2736</v>
      </c>
      <c r="H15" s="116">
        <f t="shared" si="8"/>
        <v>241187.9007</v>
      </c>
      <c r="I15" s="116">
        <f t="shared" si="8"/>
        <v>244264.3858</v>
      </c>
      <c r="J15" s="116">
        <f t="shared" si="8"/>
        <v>240274.4901</v>
      </c>
      <c r="K15" s="116">
        <f t="shared" si="8"/>
        <v>234696.2638</v>
      </c>
      <c r="L15" s="116">
        <f t="shared" si="8"/>
        <v>226396.8775</v>
      </c>
    </row>
    <row r="16" ht="19.5" customHeight="1">
      <c r="A16" s="3" t="s">
        <v>531</v>
      </c>
      <c r="B16" s="4">
        <f>B14*Assumptions!B72</f>
        <v>32852.7</v>
      </c>
      <c r="C16" s="4">
        <f>C14*Assumptions!C72</f>
        <v>105720.6557</v>
      </c>
      <c r="D16" s="4">
        <f>D14*Assumptions!D72</f>
        <v>118272.8918</v>
      </c>
      <c r="E16" s="4">
        <f>E14*Assumptions!E72</f>
        <v>123465.4073</v>
      </c>
      <c r="F16" s="4">
        <f>F14*Assumptions!F72</f>
        <v>125625.3693</v>
      </c>
      <c r="G16" s="4">
        <f>G14*Assumptions!G72</f>
        <v>125904.5685</v>
      </c>
      <c r="H16" s="4">
        <f>H14*Assumptions!$G$72</f>
        <v>124039.4918</v>
      </c>
      <c r="I16" s="4">
        <f>I14*Assumptions!$G$72</f>
        <v>124830.5879</v>
      </c>
      <c r="J16" s="4">
        <f>J14*Assumptions!$G$72</f>
        <v>123569.7378</v>
      </c>
      <c r="K16" s="4">
        <f>K14*Assumptions!$G$72</f>
        <v>120700.9356</v>
      </c>
      <c r="L16" s="4">
        <f>L14*Assumptions!$G$72</f>
        <v>116432.6799</v>
      </c>
    </row>
    <row r="17" ht="19.5" customHeight="1">
      <c r="A17" s="3" t="s">
        <v>532</v>
      </c>
      <c r="B17" s="21">
        <f t="shared" ref="B17:L17" si="9">B14-B16</f>
        <v>21901.8</v>
      </c>
      <c r="C17" s="21">
        <f t="shared" si="9"/>
        <v>70480.4371</v>
      </c>
      <c r="D17" s="21">
        <f t="shared" si="9"/>
        <v>78848.59455</v>
      </c>
      <c r="E17" s="21">
        <f t="shared" si="9"/>
        <v>82310.27154</v>
      </c>
      <c r="F17" s="21">
        <f t="shared" si="9"/>
        <v>83750.24622</v>
      </c>
      <c r="G17" s="21">
        <f t="shared" si="9"/>
        <v>83936.37902</v>
      </c>
      <c r="H17" s="21">
        <f t="shared" si="9"/>
        <v>82692.99452</v>
      </c>
      <c r="I17" s="21">
        <f t="shared" si="9"/>
        <v>83220.39196</v>
      </c>
      <c r="J17" s="21">
        <f t="shared" si="9"/>
        <v>82379.82518</v>
      </c>
      <c r="K17" s="21">
        <f t="shared" si="9"/>
        <v>80467.29043</v>
      </c>
      <c r="L17" s="21">
        <f t="shared" si="9"/>
        <v>77621.78658</v>
      </c>
    </row>
    <row r="18" ht="19.5" customHeight="1">
      <c r="A18" s="3"/>
      <c r="B18" s="3"/>
      <c r="C18" s="3"/>
      <c r="D18" s="3"/>
      <c r="E18" s="3"/>
      <c r="F18" s="3"/>
      <c r="G18" s="3"/>
      <c r="H18" s="3"/>
      <c r="I18" s="3"/>
      <c r="J18" s="3"/>
      <c r="K18" s="3"/>
      <c r="L18" s="3"/>
    </row>
    <row r="19" ht="19.5" customHeight="1">
      <c r="A19" s="25" t="s">
        <v>533</v>
      </c>
      <c r="B19" s="25"/>
      <c r="C19" s="25"/>
      <c r="D19" s="25"/>
      <c r="E19" s="25"/>
      <c r="F19" s="25"/>
      <c r="G19" s="25"/>
      <c r="H19" s="25"/>
      <c r="I19" s="25"/>
      <c r="J19" s="25"/>
      <c r="K19" s="25"/>
      <c r="L19" s="25"/>
    </row>
    <row r="20" ht="19.5" customHeight="1">
      <c r="A20" s="3" t="s">
        <v>534</v>
      </c>
      <c r="B20" s="4">
        <f>'Historical base'!E72</f>
        <v>321212</v>
      </c>
      <c r="C20" s="21">
        <f t="shared" ref="C20:L20" si="10">B26</f>
        <v>418857.7925</v>
      </c>
      <c r="D20" s="21">
        <f t="shared" si="10"/>
        <v>571592.4619</v>
      </c>
      <c r="E20" s="21">
        <f t="shared" si="10"/>
        <v>695503.4298</v>
      </c>
      <c r="F20" s="21">
        <f t="shared" si="10"/>
        <v>811389.3339</v>
      </c>
      <c r="G20" s="21">
        <f t="shared" si="10"/>
        <v>911564.1088</v>
      </c>
      <c r="H20" s="21">
        <f t="shared" si="10"/>
        <v>983971.2555</v>
      </c>
      <c r="I20" s="21">
        <f t="shared" si="10"/>
        <v>1035566.729</v>
      </c>
      <c r="J20" s="21">
        <f t="shared" si="10"/>
        <v>1088687.066</v>
      </c>
      <c r="K20" s="21">
        <f t="shared" si="10"/>
        <v>1127833.397</v>
      </c>
      <c r="L20" s="21">
        <f t="shared" si="10"/>
        <v>1157020.893</v>
      </c>
    </row>
    <row r="21" ht="19.5" customHeight="1">
      <c r="A21" s="3" t="s">
        <v>535</v>
      </c>
      <c r="B21" s="21">
        <f t="shared" ref="B21:L21" si="11">$B$44/$B$46*MAX(0,MIN(B8,$B$46)-MAX(B8-B7,0))</f>
        <v>16533.16667</v>
      </c>
      <c r="C21" s="21">
        <f t="shared" si="11"/>
        <v>33066.33333</v>
      </c>
      <c r="D21" s="21">
        <f t="shared" si="11"/>
        <v>33066.33333</v>
      </c>
      <c r="E21" s="21">
        <f t="shared" si="11"/>
        <v>16533.16667</v>
      </c>
      <c r="F21" s="21">
        <f t="shared" si="11"/>
        <v>0</v>
      </c>
      <c r="G21" s="21">
        <f t="shared" si="11"/>
        <v>0</v>
      </c>
      <c r="H21" s="21">
        <f t="shared" si="11"/>
        <v>0</v>
      </c>
      <c r="I21" s="21">
        <f t="shared" si="11"/>
        <v>0</v>
      </c>
      <c r="J21" s="21">
        <f t="shared" si="11"/>
        <v>0</v>
      </c>
      <c r="K21" s="21">
        <f t="shared" si="11"/>
        <v>0</v>
      </c>
      <c r="L21" s="21">
        <f t="shared" si="11"/>
        <v>0</v>
      </c>
    </row>
    <row r="22" ht="19.5" customHeight="1">
      <c r="A22" s="3" t="s">
        <v>536</v>
      </c>
      <c r="B22" s="21">
        <f t="shared" ref="B22:L22" si="12">$B$45/$B$47*MAX(0,MIN(B8,$B$47)-MAX(B8-B7,0))</f>
        <v>3306.633333</v>
      </c>
      <c r="C22" s="21">
        <f t="shared" si="12"/>
        <v>6613.266667</v>
      </c>
      <c r="D22" s="21">
        <f t="shared" si="12"/>
        <v>6613.266667</v>
      </c>
      <c r="E22" s="21">
        <f t="shared" si="12"/>
        <v>6613.266667</v>
      </c>
      <c r="F22" s="21">
        <f t="shared" si="12"/>
        <v>6613.266667</v>
      </c>
      <c r="G22" s="21">
        <f t="shared" si="12"/>
        <v>6613.266667</v>
      </c>
      <c r="H22" s="21">
        <f t="shared" si="12"/>
        <v>6613.266667</v>
      </c>
      <c r="I22" s="21">
        <f t="shared" si="12"/>
        <v>6613.266667</v>
      </c>
      <c r="J22" s="21">
        <f t="shared" si="12"/>
        <v>6613.266667</v>
      </c>
      <c r="K22" s="21">
        <f t="shared" si="12"/>
        <v>6613.266667</v>
      </c>
      <c r="L22" s="21">
        <f t="shared" si="12"/>
        <v>6613.266667</v>
      </c>
    </row>
    <row r="23" ht="19.5" customHeight="1">
      <c r="A23" s="3" t="s">
        <v>537</v>
      </c>
      <c r="B23" s="21">
        <f t="shared" ref="B23:L23" si="13">SUM(B50:B60,B64:B74)</f>
        <v>1916.4075</v>
      </c>
      <c r="C23" s="21">
        <f t="shared" si="13"/>
        <v>19999.70649</v>
      </c>
      <c r="D23" s="21">
        <f t="shared" si="13"/>
        <v>46132.28703</v>
      </c>
      <c r="E23" s="21">
        <f t="shared" si="13"/>
        <v>74335.0886</v>
      </c>
      <c r="F23" s="21">
        <f t="shared" si="13"/>
        <v>103395.6792</v>
      </c>
      <c r="G23" s="21">
        <f t="shared" si="13"/>
        <v>131098.2036</v>
      </c>
      <c r="H23" s="21">
        <f t="shared" si="13"/>
        <v>144758.3734</v>
      </c>
      <c r="I23" s="21">
        <f t="shared" si="13"/>
        <v>151393.8613</v>
      </c>
      <c r="J23" s="21">
        <f t="shared" si="13"/>
        <v>156200.0694</v>
      </c>
      <c r="K23" s="21">
        <f t="shared" si="13"/>
        <v>159789.237</v>
      </c>
      <c r="L23" s="21">
        <f t="shared" si="13"/>
        <v>162301.8317</v>
      </c>
    </row>
    <row r="24" ht="19.5" customHeight="1">
      <c r="A24" s="22" t="s">
        <v>538</v>
      </c>
      <c r="B24" s="116">
        <f t="shared" ref="B24:L24" si="14">SUM(B21:B23)</f>
        <v>21756.2075</v>
      </c>
      <c r="C24" s="116">
        <f t="shared" si="14"/>
        <v>59679.30649</v>
      </c>
      <c r="D24" s="116">
        <f t="shared" si="14"/>
        <v>85811.88703</v>
      </c>
      <c r="E24" s="116">
        <f t="shared" si="14"/>
        <v>97481.52193</v>
      </c>
      <c r="F24" s="116">
        <f t="shared" si="14"/>
        <v>110008.9459</v>
      </c>
      <c r="G24" s="116">
        <f t="shared" si="14"/>
        <v>137711.4703</v>
      </c>
      <c r="H24" s="116">
        <f t="shared" si="14"/>
        <v>151371.6401</v>
      </c>
      <c r="I24" s="116">
        <f t="shared" si="14"/>
        <v>158007.128</v>
      </c>
      <c r="J24" s="116">
        <f t="shared" si="14"/>
        <v>162813.3361</v>
      </c>
      <c r="K24" s="116">
        <f t="shared" si="14"/>
        <v>166402.5036</v>
      </c>
      <c r="L24" s="116">
        <f t="shared" si="14"/>
        <v>168915.0983</v>
      </c>
    </row>
    <row r="25" ht="19.5" customHeight="1">
      <c r="A25" s="3" t="s">
        <v>371</v>
      </c>
      <c r="B25" s="4">
        <f>'Sources and basis'!E47</f>
        <v>747</v>
      </c>
      <c r="C25" s="4">
        <f>'Sources and basis'!F47</f>
        <v>1304</v>
      </c>
      <c r="D25" s="4">
        <f>'Sources and basis'!G47</f>
        <v>1142</v>
      </c>
      <c r="E25" s="4">
        <f>'Sources and basis'!H47</f>
        <v>1096</v>
      </c>
      <c r="F25" s="4">
        <f>'Sources and basis'!I47</f>
        <v>1055</v>
      </c>
      <c r="G25" s="4">
        <f>Assumptions!B94</f>
        <v>1055</v>
      </c>
      <c r="H25" s="4">
        <f>MIN(MAX(0,'Sources and basis'!$B$56-SUM($G$25:G25)),Assumptions!$B$237/Assumptions!$B$238)</f>
        <v>499</v>
      </c>
      <c r="I25" s="4">
        <f>MIN(MAX(0,'Sources and basis'!$B$56-SUM($G$25:H25)),Assumptions!$B$237/Assumptions!$B$238)</f>
        <v>499</v>
      </c>
      <c r="J25" s="4">
        <f>MIN(MAX(0,'Sources and basis'!$B$56-SUM($G$25:I25)),Assumptions!$B$237/Assumptions!$B$238)</f>
        <v>499</v>
      </c>
      <c r="K25" s="4">
        <f>MIN(MAX(0,'Sources and basis'!$B$56-SUM($G$25:J25)),Assumptions!$B$237/Assumptions!$B$238)</f>
        <v>499</v>
      </c>
      <c r="L25" s="4">
        <f>MIN(MAX(0,'Sources and basis'!$B$56-SUM($G$25:K25)),Assumptions!$B$237/Assumptions!$B$238)</f>
        <v>499</v>
      </c>
    </row>
    <row r="26" ht="19.5" customHeight="1">
      <c r="A26" s="22" t="s">
        <v>539</v>
      </c>
      <c r="B26" s="116">
        <f t="shared" ref="B26:L26" si="15">B20+B12-B24</f>
        <v>418857.7925</v>
      </c>
      <c r="C26" s="116">
        <f t="shared" si="15"/>
        <v>571592.4619</v>
      </c>
      <c r="D26" s="116">
        <f t="shared" si="15"/>
        <v>695503.4298</v>
      </c>
      <c r="E26" s="116">
        <f t="shared" si="15"/>
        <v>811389.3339</v>
      </c>
      <c r="F26" s="116">
        <f t="shared" si="15"/>
        <v>911564.1088</v>
      </c>
      <c r="G26" s="116">
        <f t="shared" si="15"/>
        <v>983971.2555</v>
      </c>
      <c r="H26" s="116">
        <f t="shared" si="15"/>
        <v>1035566.729</v>
      </c>
      <c r="I26" s="116">
        <f t="shared" si="15"/>
        <v>1088687.066</v>
      </c>
      <c r="J26" s="116">
        <f t="shared" si="15"/>
        <v>1127833.397</v>
      </c>
      <c r="K26" s="116">
        <f t="shared" si="15"/>
        <v>1157020.893</v>
      </c>
      <c r="L26" s="116">
        <f t="shared" si="15"/>
        <v>1173860.875</v>
      </c>
    </row>
    <row r="27" ht="19.5" customHeight="1">
      <c r="A27" s="3" t="s">
        <v>540</v>
      </c>
      <c r="B27" s="21">
        <f t="shared" ref="B27:L27" si="16">B26-B15</f>
        <v>231396.2925</v>
      </c>
      <c r="C27" s="21">
        <f t="shared" si="16"/>
        <v>347918.0788</v>
      </c>
      <c r="D27" s="21">
        <f t="shared" si="16"/>
        <v>459227.6781</v>
      </c>
      <c r="E27" s="21">
        <f t="shared" si="16"/>
        <v>567521.835</v>
      </c>
      <c r="F27" s="21">
        <f t="shared" si="16"/>
        <v>666888.5047</v>
      </c>
      <c r="G27" s="21">
        <f t="shared" si="16"/>
        <v>739017.982</v>
      </c>
      <c r="H27" s="21">
        <f t="shared" si="16"/>
        <v>794378.8282</v>
      </c>
      <c r="I27" s="21">
        <f t="shared" si="16"/>
        <v>844422.6801</v>
      </c>
      <c r="J27" s="21">
        <f t="shared" si="16"/>
        <v>887558.907</v>
      </c>
      <c r="K27" s="21">
        <f t="shared" si="16"/>
        <v>922324.6294</v>
      </c>
      <c r="L27" s="21">
        <f t="shared" si="16"/>
        <v>947463.9976</v>
      </c>
    </row>
    <row r="28" ht="19.5" customHeight="1">
      <c r="A28" s="3" t="s">
        <v>541</v>
      </c>
      <c r="B28" s="145">
        <f t="shared" ref="B28:L28" si="17">B26-B20-B12+B24</f>
        <v>0</v>
      </c>
      <c r="C28" s="145">
        <f t="shared" si="17"/>
        <v>0</v>
      </c>
      <c r="D28" s="145">
        <f t="shared" si="17"/>
        <v>0</v>
      </c>
      <c r="E28" s="145">
        <f t="shared" si="17"/>
        <v>0</v>
      </c>
      <c r="F28" s="145">
        <f t="shared" si="17"/>
        <v>0</v>
      </c>
      <c r="G28" s="145">
        <f t="shared" si="17"/>
        <v>0</v>
      </c>
      <c r="H28" s="145">
        <f t="shared" si="17"/>
        <v>0</v>
      </c>
      <c r="I28" s="145">
        <f t="shared" si="17"/>
        <v>-0.0000000001164153218</v>
      </c>
      <c r="J28" s="145">
        <f t="shared" si="17"/>
        <v>0.0000000001455191523</v>
      </c>
      <c r="K28" s="145">
        <f t="shared" si="17"/>
        <v>0</v>
      </c>
      <c r="L28" s="145">
        <f t="shared" si="17"/>
        <v>0</v>
      </c>
    </row>
    <row r="29" ht="19.5" customHeight="1">
      <c r="A29" s="3"/>
      <c r="B29" s="3"/>
      <c r="C29" s="3"/>
      <c r="D29" s="3"/>
      <c r="E29" s="3"/>
      <c r="F29" s="3"/>
      <c r="G29" s="3"/>
      <c r="H29" s="3"/>
      <c r="I29" s="3"/>
      <c r="J29" s="3"/>
      <c r="K29" s="3"/>
      <c r="L29" s="3"/>
    </row>
    <row r="30" ht="19.5" customHeight="1">
      <c r="A30" s="25" t="s">
        <v>542</v>
      </c>
      <c r="B30" s="25"/>
      <c r="C30" s="25"/>
      <c r="D30" s="25"/>
      <c r="E30" s="25"/>
      <c r="F30" s="25"/>
      <c r="G30" s="25"/>
      <c r="H30" s="25"/>
      <c r="I30" s="25"/>
      <c r="J30" s="25"/>
      <c r="K30" s="25"/>
      <c r="L30" s="25"/>
    </row>
    <row r="31" ht="19.5" customHeight="1">
      <c r="A31" s="3" t="s">
        <v>375</v>
      </c>
      <c r="B31" s="4">
        <f>'Operating forecast'!E36</f>
        <v>73257.54982</v>
      </c>
      <c r="C31" s="4">
        <f>'Operating forecast'!G36</f>
        <v>155417.5661</v>
      </c>
      <c r="D31" s="4">
        <f>'Operating forecast'!H36</f>
        <v>169496.8901</v>
      </c>
      <c r="E31" s="4">
        <f>'Operating forecast'!I36</f>
        <v>193040.4692</v>
      </c>
      <c r="F31" s="4">
        <f>'Operating forecast'!J36</f>
        <v>214125.0295</v>
      </c>
      <c r="G31" s="4">
        <f>'Operating forecast'!K36</f>
        <v>221373.3146</v>
      </c>
      <c r="H31" s="4">
        <f>Transition!C13</f>
        <v>235065.8132</v>
      </c>
      <c r="I31" s="4">
        <f>Transition!D13</f>
        <v>251406.71</v>
      </c>
      <c r="J31" s="4">
        <f>Transition!E13</f>
        <v>265979.6512</v>
      </c>
      <c r="K31" s="4">
        <f>Transition!F13</f>
        <v>277656.1588</v>
      </c>
      <c r="L31" s="4">
        <f>Transition!G13</f>
        <v>285800.0567</v>
      </c>
    </row>
    <row r="32" ht="19.5" customHeight="1">
      <c r="A32" s="3" t="s">
        <v>543</v>
      </c>
      <c r="B32" s="21">
        <f t="shared" ref="B32:L32" si="18">B24</f>
        <v>21756.2075</v>
      </c>
      <c r="C32" s="21">
        <f t="shared" si="18"/>
        <v>59679.30649</v>
      </c>
      <c r="D32" s="21">
        <f t="shared" si="18"/>
        <v>85811.88703</v>
      </c>
      <c r="E32" s="21">
        <f t="shared" si="18"/>
        <v>97481.52193</v>
      </c>
      <c r="F32" s="21">
        <f t="shared" si="18"/>
        <v>110008.9459</v>
      </c>
      <c r="G32" s="21">
        <f t="shared" si="18"/>
        <v>137711.4703</v>
      </c>
      <c r="H32" s="21">
        <f t="shared" si="18"/>
        <v>151371.6401</v>
      </c>
      <c r="I32" s="21">
        <f t="shared" si="18"/>
        <v>158007.128</v>
      </c>
      <c r="J32" s="21">
        <f t="shared" si="18"/>
        <v>162813.3361</v>
      </c>
      <c r="K32" s="21">
        <f t="shared" si="18"/>
        <v>166402.5036</v>
      </c>
      <c r="L32" s="21">
        <f t="shared" si="18"/>
        <v>168915.0983</v>
      </c>
    </row>
    <row r="33" ht="19.5" customHeight="1">
      <c r="A33" s="3" t="s">
        <v>544</v>
      </c>
      <c r="B33" s="21">
        <f t="shared" ref="B33:L33" si="19">B25</f>
        <v>747</v>
      </c>
      <c r="C33" s="21">
        <f t="shared" si="19"/>
        <v>1304</v>
      </c>
      <c r="D33" s="21">
        <f t="shared" si="19"/>
        <v>1142</v>
      </c>
      <c r="E33" s="21">
        <f t="shared" si="19"/>
        <v>1096</v>
      </c>
      <c r="F33" s="21">
        <f t="shared" si="19"/>
        <v>1055</v>
      </c>
      <c r="G33" s="21">
        <f t="shared" si="19"/>
        <v>1055</v>
      </c>
      <c r="H33" s="21">
        <f t="shared" si="19"/>
        <v>499</v>
      </c>
      <c r="I33" s="21">
        <f t="shared" si="19"/>
        <v>499</v>
      </c>
      <c r="J33" s="21">
        <f t="shared" si="19"/>
        <v>499</v>
      </c>
      <c r="K33" s="21">
        <f t="shared" si="19"/>
        <v>499</v>
      </c>
      <c r="L33" s="21">
        <f t="shared" si="19"/>
        <v>499</v>
      </c>
    </row>
    <row r="34" ht="19.5" customHeight="1">
      <c r="A34" s="3" t="s">
        <v>545</v>
      </c>
      <c r="B34" s="21">
        <f t="shared" ref="B34:L34" si="20">B12</f>
        <v>119402</v>
      </c>
      <c r="C34" s="21">
        <f t="shared" si="20"/>
        <v>212413.9759</v>
      </c>
      <c r="D34" s="21">
        <f t="shared" si="20"/>
        <v>209722.855</v>
      </c>
      <c r="E34" s="21">
        <f t="shared" si="20"/>
        <v>213367.426</v>
      </c>
      <c r="F34" s="21">
        <f t="shared" si="20"/>
        <v>210183.7207</v>
      </c>
      <c r="G34" s="21">
        <f t="shared" si="20"/>
        <v>210118.6171</v>
      </c>
      <c r="H34" s="21">
        <f t="shared" si="20"/>
        <v>202967.1134</v>
      </c>
      <c r="I34" s="21">
        <f t="shared" si="20"/>
        <v>211127.465</v>
      </c>
      <c r="J34" s="21">
        <f t="shared" si="20"/>
        <v>201959.6673</v>
      </c>
      <c r="K34" s="21">
        <f t="shared" si="20"/>
        <v>195589.9997</v>
      </c>
      <c r="L34" s="21">
        <f t="shared" si="20"/>
        <v>185755.0802</v>
      </c>
    </row>
    <row r="35" ht="19.5" customHeight="1">
      <c r="A35" s="35" t="s">
        <v>546</v>
      </c>
      <c r="B35" s="4">
        <f>'Working capital'!E59</f>
        <v>39550.24214</v>
      </c>
      <c r="C35" s="4">
        <f>'Working capital'!F59</f>
        <v>42823.74336</v>
      </c>
      <c r="D35" s="4">
        <f>'Working capital'!G59</f>
        <v>43632.11092</v>
      </c>
      <c r="E35" s="4">
        <f>'Working capital'!H59</f>
        <v>49259.48993</v>
      </c>
      <c r="F35" s="4">
        <f>'Working capital'!I59</f>
        <v>54524.93535</v>
      </c>
      <c r="G35" s="4">
        <f>'Working capital'!J59</f>
        <v>59415.26072</v>
      </c>
      <c r="H35" s="4">
        <f>Transition!C9*('Working capital'!$J$59/'Operating forecast'!$K$16)</f>
        <v>64034.90205</v>
      </c>
      <c r="I35" s="4">
        <f>Transition!D9*('Working capital'!$J$59/'Operating forecast'!$K$16)</f>
        <v>68249.28376</v>
      </c>
      <c r="J35" s="4">
        <f>Transition!E9*('Working capital'!$J$59/'Operating forecast'!$K$16)</f>
        <v>71926.27412</v>
      </c>
      <c r="K35" s="4">
        <f>Transition!F9*('Working capital'!$J$59/'Operating forecast'!$K$16)</f>
        <v>74942.71396</v>
      </c>
      <c r="L35" s="4">
        <f>Transition!G9*('Working capital'!$J$59/'Operating forecast'!$K$16)</f>
        <v>77190.99538</v>
      </c>
    </row>
    <row r="36" ht="19.5" customHeight="1">
      <c r="A36" s="35" t="s">
        <v>547</v>
      </c>
      <c r="B36" s="4">
        <f>'Working capital'!C59</f>
        <v>35174.32</v>
      </c>
      <c r="C36" s="21">
        <f>'Working capital'!E59</f>
        <v>39550.24214</v>
      </c>
      <c r="D36" s="21">
        <f>'Working capital'!F59</f>
        <v>42823.74336</v>
      </c>
      <c r="E36" s="21">
        <f>'Working capital'!G59</f>
        <v>43632.11092</v>
      </c>
      <c r="F36" s="21">
        <f>'Working capital'!H59</f>
        <v>49259.48993</v>
      </c>
      <c r="G36" s="21">
        <f>'Working capital'!I59</f>
        <v>54524.93535</v>
      </c>
      <c r="H36" s="21">
        <f t="shared" ref="H36:L36" si="21">G35</f>
        <v>59415.26072</v>
      </c>
      <c r="I36" s="21">
        <f t="shared" si="21"/>
        <v>64034.90205</v>
      </c>
      <c r="J36" s="21">
        <f t="shared" si="21"/>
        <v>68249.28376</v>
      </c>
      <c r="K36" s="21">
        <f t="shared" si="21"/>
        <v>71926.27412</v>
      </c>
      <c r="L36" s="21">
        <f t="shared" si="21"/>
        <v>74942.71396</v>
      </c>
    </row>
    <row r="37" ht="19.5" customHeight="1">
      <c r="A37" s="35" t="s">
        <v>548</v>
      </c>
      <c r="B37" s="21">
        <f>'Working capital'!E62</f>
        <v>4375.922142</v>
      </c>
      <c r="C37" s="21">
        <f>'Working capital'!F62</f>
        <v>3273.501218</v>
      </c>
      <c r="D37" s="21">
        <f>'Working capital'!G62</f>
        <v>808.3675568</v>
      </c>
      <c r="E37" s="21">
        <f>'Working capital'!H62</f>
        <v>5627.379015</v>
      </c>
      <c r="F37" s="21">
        <f>'Working capital'!I62</f>
        <v>5265.445422</v>
      </c>
      <c r="G37" s="21">
        <f>'Working capital'!J62</f>
        <v>4890.325367</v>
      </c>
      <c r="H37" s="21">
        <f t="shared" ref="H37:L37" si="22">H35-H36</f>
        <v>4619.641329</v>
      </c>
      <c r="I37" s="21">
        <f t="shared" si="22"/>
        <v>4214.381709</v>
      </c>
      <c r="J37" s="21">
        <f t="shared" si="22"/>
        <v>3676.990358</v>
      </c>
      <c r="K37" s="21">
        <f t="shared" si="22"/>
        <v>3016.43984</v>
      </c>
      <c r="L37" s="21">
        <f t="shared" si="22"/>
        <v>2248.281419</v>
      </c>
    </row>
    <row r="38" ht="19.5" customHeight="1">
      <c r="A38" s="22" t="s">
        <v>549</v>
      </c>
      <c r="B38" s="116">
        <f t="shared" ref="B38:L38" si="23">SUM(B31:B33)-B34-B37</f>
        <v>-28017.16483</v>
      </c>
      <c r="C38" s="116">
        <f t="shared" si="23"/>
        <v>713.3955457</v>
      </c>
      <c r="D38" s="116">
        <f t="shared" si="23"/>
        <v>45919.55455</v>
      </c>
      <c r="E38" s="116">
        <f t="shared" si="23"/>
        <v>72623.18612</v>
      </c>
      <c r="F38" s="116">
        <f t="shared" si="23"/>
        <v>109739.8093</v>
      </c>
      <c r="G38" s="116">
        <f t="shared" si="23"/>
        <v>145130.8425</v>
      </c>
      <c r="H38" s="116">
        <f t="shared" si="23"/>
        <v>179349.6986</v>
      </c>
      <c r="I38" s="116">
        <f t="shared" si="23"/>
        <v>194570.9913</v>
      </c>
      <c r="J38" s="116">
        <f t="shared" si="23"/>
        <v>223655.3296</v>
      </c>
      <c r="K38" s="116">
        <f t="shared" si="23"/>
        <v>245951.2229</v>
      </c>
      <c r="L38" s="116">
        <f t="shared" si="23"/>
        <v>267210.7934</v>
      </c>
    </row>
    <row r="39" ht="19.5" customHeight="1">
      <c r="A39" s="3" t="s">
        <v>550</v>
      </c>
      <c r="B39" s="21">
        <f t="shared" ref="B39:L39" si="24">AVERAGE(B20+B36,B26+B35)</f>
        <v>407397.1773</v>
      </c>
      <c r="C39" s="21">
        <f t="shared" si="24"/>
        <v>536412.1199</v>
      </c>
      <c r="D39" s="21">
        <f t="shared" si="24"/>
        <v>676775.873</v>
      </c>
      <c r="E39" s="21">
        <f t="shared" si="24"/>
        <v>799892.1823</v>
      </c>
      <c r="F39" s="21">
        <f t="shared" si="24"/>
        <v>913368.934</v>
      </c>
      <c r="G39" s="21">
        <f t="shared" si="24"/>
        <v>1004737.78</v>
      </c>
      <c r="H39" s="21">
        <f t="shared" si="24"/>
        <v>1071494.074</v>
      </c>
      <c r="I39" s="21">
        <f t="shared" si="24"/>
        <v>1128268.99</v>
      </c>
      <c r="J39" s="21">
        <f t="shared" si="24"/>
        <v>1178348.01</v>
      </c>
      <c r="K39" s="21">
        <f t="shared" si="24"/>
        <v>1215861.639</v>
      </c>
      <c r="L39" s="21">
        <f t="shared" si="24"/>
        <v>1241507.739</v>
      </c>
    </row>
    <row r="40" ht="19.5" customHeight="1">
      <c r="A40" s="22" t="s">
        <v>451</v>
      </c>
      <c r="B40" s="146">
        <f t="shared" ref="B40:G40" si="25">B31/B7/B39</f>
        <v>0.3596370024</v>
      </c>
      <c r="C40" s="146">
        <f t="shared" si="25"/>
        <v>0.2897353739</v>
      </c>
      <c r="D40" s="146">
        <f t="shared" si="25"/>
        <v>0.2504475955</v>
      </c>
      <c r="E40" s="146">
        <f t="shared" si="25"/>
        <v>0.2413331115</v>
      </c>
      <c r="F40" s="146">
        <f t="shared" si="25"/>
        <v>0.234434325</v>
      </c>
      <c r="G40" s="146">
        <f t="shared" si="25"/>
        <v>0.2203294422</v>
      </c>
      <c r="H40" s="146">
        <f t="shared" ref="H40:L40" si="26">H31/H39</f>
        <v>0.2193813471</v>
      </c>
      <c r="I40" s="146">
        <f t="shared" si="26"/>
        <v>0.2228251526</v>
      </c>
      <c r="J40" s="146">
        <f t="shared" si="26"/>
        <v>0.2257224935</v>
      </c>
      <c r="K40" s="146">
        <f t="shared" si="26"/>
        <v>0.2283616407</v>
      </c>
      <c r="L40" s="146">
        <f t="shared" si="26"/>
        <v>0.2302040074</v>
      </c>
    </row>
    <row r="41" ht="19.5" customHeight="1">
      <c r="A41" s="35" t="s">
        <v>551</v>
      </c>
      <c r="B41" s="60">
        <f>B12/'Operating forecast'!E16</f>
        <v>0.4395552919</v>
      </c>
      <c r="C41" s="60">
        <f>C12/'Operating forecast'!G16</f>
        <v>0.350750721</v>
      </c>
      <c r="D41" s="60">
        <f>D12/'Operating forecast'!H16</f>
        <v>0.3005884689</v>
      </c>
      <c r="E41" s="60">
        <f>E12/'Operating forecast'!I16</f>
        <v>0.2708762866</v>
      </c>
      <c r="F41" s="60">
        <f>F12/'Operating forecast'!J16</f>
        <v>0.2410664076</v>
      </c>
      <c r="G41" s="60">
        <f>G12/'Operating forecast'!K16</f>
        <v>0.2211562952</v>
      </c>
      <c r="H41" s="60">
        <f>H12/Transition!C9</f>
        <v>0.1982173681</v>
      </c>
      <c r="I41" s="60">
        <f>I12/Transition!D9</f>
        <v>0.1934547576</v>
      </c>
      <c r="J41" s="60">
        <f>J12/Transition!E9</f>
        <v>0.1755940769</v>
      </c>
      <c r="K41" s="60">
        <f>K12/Transition!F9</f>
        <v>0.1632112193</v>
      </c>
      <c r="L41" s="60">
        <f>L12/Transition!G9</f>
        <v>0.1504897215</v>
      </c>
    </row>
    <row r="42" ht="19.5" customHeight="1">
      <c r="A42" s="3"/>
      <c r="B42" s="3"/>
      <c r="C42" s="3"/>
      <c r="D42" s="3"/>
      <c r="E42" s="3"/>
      <c r="F42" s="3"/>
      <c r="G42" s="3"/>
      <c r="H42" s="3"/>
      <c r="I42" s="3"/>
      <c r="J42" s="3"/>
      <c r="K42" s="3"/>
      <c r="L42" s="3"/>
    </row>
    <row r="43" ht="19.5" customHeight="1">
      <c r="A43" s="25" t="s">
        <v>552</v>
      </c>
      <c r="B43" s="25"/>
      <c r="C43" s="25"/>
      <c r="D43" s="25"/>
      <c r="E43" s="25"/>
      <c r="F43" s="25"/>
      <c r="G43" s="25"/>
      <c r="H43" s="25"/>
      <c r="I43" s="25"/>
      <c r="J43" s="25"/>
      <c r="K43" s="25"/>
      <c r="L43" s="25"/>
    </row>
    <row r="44" ht="19.5" customHeight="1">
      <c r="A44" s="3" t="s">
        <v>553</v>
      </c>
      <c r="B44" s="4">
        <f>'Historical base'!E75*Assumptions!B89</f>
        <v>99199</v>
      </c>
      <c r="C44" s="3"/>
      <c r="D44" s="3"/>
      <c r="E44" s="3"/>
      <c r="F44" s="3"/>
      <c r="G44" s="3"/>
      <c r="H44" s="3"/>
      <c r="I44" s="3"/>
      <c r="J44" s="3"/>
      <c r="K44" s="3"/>
      <c r="L44" s="3"/>
    </row>
    <row r="45" ht="19.5" customHeight="1">
      <c r="A45" s="3" t="s">
        <v>554</v>
      </c>
      <c r="B45" s="4">
        <f>'Historical base'!E75-B44</f>
        <v>99199</v>
      </c>
      <c r="C45" s="3"/>
      <c r="D45" s="3"/>
      <c r="E45" s="3"/>
      <c r="F45" s="3"/>
      <c r="G45" s="3"/>
      <c r="H45" s="3"/>
      <c r="I45" s="3"/>
      <c r="J45" s="3"/>
      <c r="K45" s="3"/>
      <c r="L45" s="3"/>
    </row>
    <row r="46" ht="19.5" customHeight="1">
      <c r="A46" s="3" t="s">
        <v>555</v>
      </c>
      <c r="B46" s="147">
        <f>Assumptions!B90</f>
        <v>3</v>
      </c>
      <c r="C46" s="144"/>
      <c r="D46" s="144"/>
      <c r="E46" s="144"/>
      <c r="F46" s="144"/>
      <c r="G46" s="144"/>
      <c r="H46" s="144"/>
      <c r="I46" s="144"/>
      <c r="J46" s="144"/>
      <c r="K46" s="144"/>
      <c r="L46" s="144"/>
    </row>
    <row r="47" ht="19.5" customHeight="1">
      <c r="A47" s="3" t="s">
        <v>556</v>
      </c>
      <c r="B47" s="147">
        <f>Assumptions!B91</f>
        <v>15</v>
      </c>
      <c r="C47" s="144"/>
      <c r="D47" s="144"/>
      <c r="E47" s="144"/>
      <c r="F47" s="144"/>
      <c r="G47" s="144"/>
      <c r="H47" s="144"/>
      <c r="I47" s="144"/>
      <c r="J47" s="144"/>
      <c r="K47" s="144"/>
      <c r="L47" s="144"/>
    </row>
    <row r="48" ht="19.5" customHeight="1">
      <c r="A48" s="3"/>
      <c r="B48" s="3"/>
      <c r="C48" s="3"/>
      <c r="D48" s="3"/>
      <c r="E48" s="3"/>
      <c r="F48" s="3"/>
      <c r="G48" s="3"/>
      <c r="H48" s="3"/>
      <c r="I48" s="3"/>
      <c r="J48" s="3"/>
      <c r="K48" s="3"/>
      <c r="L48" s="3"/>
    </row>
    <row r="49" ht="21.0" customHeight="1">
      <c r="A49" s="80" t="s">
        <v>557</v>
      </c>
      <c r="B49" s="148"/>
      <c r="C49" s="148"/>
      <c r="D49" s="148"/>
      <c r="E49" s="148"/>
      <c r="F49" s="148"/>
      <c r="G49" s="148"/>
      <c r="H49" s="148"/>
      <c r="I49" s="148"/>
      <c r="J49" s="148"/>
      <c r="K49" s="148"/>
      <c r="L49" s="148"/>
    </row>
    <row r="50" ht="21.0" customHeight="1">
      <c r="A50" s="81" t="s">
        <v>558</v>
      </c>
      <c r="B50" s="124">
        <f>$B$16/Assumptions!$B$67*MAX(0,MIN(B$8,($B$8-$B$7/2)+Assumptions!$B$67)-MAX((B$8-B$7),($B$8-$B$7/2)))</f>
        <v>1642.635</v>
      </c>
      <c r="C50" s="124">
        <f>$B$16/Assumptions!$B$67*MAX(0,MIN(C$8,($B$8-$B$7/2)+Assumptions!$B$67)-MAX((C$8-C$7),($B$8-$B$7/2)))</f>
        <v>6570.54</v>
      </c>
      <c r="D50" s="124">
        <f>$B$16/Assumptions!$B$67*MAX(0,MIN(D$8,($B$8-$B$7/2)+Assumptions!$B$67)-MAX((D$8-D$7),($B$8-$B$7/2)))</f>
        <v>6570.54</v>
      </c>
      <c r="E50" s="124">
        <f>$B$16/Assumptions!$B$67*MAX(0,MIN(E$8,($B$8-$B$7/2)+Assumptions!$B$67)-MAX((E$8-E$7),($B$8-$B$7/2)))</f>
        <v>6570.54</v>
      </c>
      <c r="F50" s="124">
        <f>$B$16/Assumptions!$B$67*MAX(0,MIN(F$8,($B$8-$B$7/2)+Assumptions!$B$67)-MAX((F$8-F$7),($B$8-$B$7/2)))</f>
        <v>6570.54</v>
      </c>
      <c r="G50" s="124">
        <f>$B$16/Assumptions!$B$67*MAX(0,MIN(G$8,($B$8-$B$7/2)+Assumptions!$B$67)-MAX((G$8-G$7),($B$8-$B$7/2)))</f>
        <v>4927.905</v>
      </c>
      <c r="H50" s="124">
        <f>$B$16/Assumptions!$B$67*MAX(0,MIN(H$8,($B$8-$B$7/2)+Assumptions!$B$67)-MAX((H$8-H$7),($B$8-$B$7/2)))</f>
        <v>0</v>
      </c>
      <c r="I50" s="124">
        <f>$B$16/Assumptions!$B$67*MAX(0,MIN(I$8,($B$8-$B$7/2)+Assumptions!$B$67)-MAX((I$8-I$7),($B$8-$B$7/2)))</f>
        <v>0</v>
      </c>
      <c r="J50" s="124">
        <f>$B$16/Assumptions!$B$67*MAX(0,MIN(J$8,($B$8-$B$7/2)+Assumptions!$B$67)-MAX((J$8-J$7),($B$8-$B$7/2)))</f>
        <v>0</v>
      </c>
      <c r="K50" s="124">
        <f>$B$16/Assumptions!$B$67*MAX(0,MIN(K$8,($B$8-$B$7/2)+Assumptions!$B$67)-MAX((K$8-K$7),($B$8-$B$7/2)))</f>
        <v>0</v>
      </c>
      <c r="L50" s="124">
        <f>$B$16/Assumptions!$B$67*MAX(0,MIN(L$8,($B$8-$B$7/2)+Assumptions!$B$67)-MAX((L$8-L$7),($B$8-$B$7/2)))</f>
        <v>0</v>
      </c>
    </row>
    <row r="51" ht="21.0" customHeight="1">
      <c r="A51" s="81" t="s">
        <v>559</v>
      </c>
      <c r="B51" s="124">
        <f t="shared" ref="B51:B60" si="27">0</f>
        <v>0</v>
      </c>
      <c r="C51" s="124">
        <f>$C$16/Assumptions!$C$67*MAX(0,MIN(C$8,($C$8-$C$7/2)+Assumptions!$C$67)-MAX((C$8-C$7),($C$8-$C$7/2)))</f>
        <v>10572.06557</v>
      </c>
      <c r="D51" s="124">
        <f>$C$16/Assumptions!$C$67*MAX(0,MIN(D$8,($C$8-$C$7/2)+Assumptions!$C$67)-MAX((D$8-D$7),($C$8-$C$7/2)))</f>
        <v>21144.13113</v>
      </c>
      <c r="E51" s="124">
        <f>$C$16/Assumptions!$C$67*MAX(0,MIN(E$8,($C$8-$C$7/2)+Assumptions!$C$67)-MAX((E$8-E$7),($C$8-$C$7/2)))</f>
        <v>21144.13113</v>
      </c>
      <c r="F51" s="124">
        <f>$C$16/Assumptions!$C$67*MAX(0,MIN(F$8,($C$8-$C$7/2)+Assumptions!$C$67)-MAX((F$8-F$7),($C$8-$C$7/2)))</f>
        <v>21144.13113</v>
      </c>
      <c r="G51" s="124">
        <f>$C$16/Assumptions!$C$67*MAX(0,MIN(G$8,($C$8-$C$7/2)+Assumptions!$C$67)-MAX((G$8-G$7),($C$8-$C$7/2)))</f>
        <v>21144.13113</v>
      </c>
      <c r="H51" s="124">
        <f>$C$16/Assumptions!$C$67*MAX(0,MIN(H$8,($C$8-$C$7/2)+Assumptions!$C$67)-MAX((H$8-H$7),($C$8-$C$7/2)))</f>
        <v>10572.06557</v>
      </c>
      <c r="I51" s="124">
        <f>$C$16/Assumptions!$C$67*MAX(0,MIN(I$8,($C$8-$C$7/2)+Assumptions!$C$67)-MAX((I$8-I$7),($C$8-$C$7/2)))</f>
        <v>0</v>
      </c>
      <c r="J51" s="124">
        <f>$C$16/Assumptions!$C$67*MAX(0,MIN(J$8,($C$8-$C$7/2)+Assumptions!$C$67)-MAX((J$8-J$7),($C$8-$C$7/2)))</f>
        <v>0</v>
      </c>
      <c r="K51" s="124">
        <f>$C$16/Assumptions!$C$67*MAX(0,MIN(K$8,($C$8-$C$7/2)+Assumptions!$C$67)-MAX((K$8-K$7),($C$8-$C$7/2)))</f>
        <v>0</v>
      </c>
      <c r="L51" s="124">
        <f>$C$16/Assumptions!$C$67*MAX(0,MIN(L$8,($C$8-$C$7/2)+Assumptions!$C$67)-MAX((L$8-L$7),($C$8-$C$7/2)))</f>
        <v>0</v>
      </c>
    </row>
    <row r="52" ht="21.0" customHeight="1">
      <c r="A52" s="81" t="s">
        <v>560</v>
      </c>
      <c r="B52" s="124">
        <f t="shared" si="27"/>
        <v>0</v>
      </c>
      <c r="C52" s="124">
        <f t="shared" ref="C52:C60" si="28">0</f>
        <v>0</v>
      </c>
      <c r="D52" s="124">
        <f>$D$16/Assumptions!$D$67*MAX(0,MIN(D$8,($D$8-$D$7/2)+Assumptions!$D$67)-MAX((D$8-D$7),($D$8-$D$7/2)))</f>
        <v>11827.28918</v>
      </c>
      <c r="E52" s="124">
        <f>$D$16/Assumptions!$D$67*MAX(0,MIN(E$8,($D$8-$D$7/2)+Assumptions!$D$67)-MAX((E$8-E$7),($D$8-$D$7/2)))</f>
        <v>23654.57836</v>
      </c>
      <c r="F52" s="124">
        <f>$D$16/Assumptions!$D$67*MAX(0,MIN(F$8,($D$8-$D$7/2)+Assumptions!$D$67)-MAX((F$8-F$7),($D$8-$D$7/2)))</f>
        <v>23654.57836</v>
      </c>
      <c r="G52" s="124">
        <f>$D$16/Assumptions!$D$67*MAX(0,MIN(G$8,($D$8-$D$7/2)+Assumptions!$D$67)-MAX((G$8-G$7),($D$8-$D$7/2)))</f>
        <v>23654.57836</v>
      </c>
      <c r="H52" s="124">
        <f>$D$16/Assumptions!$D$67*MAX(0,MIN(H$8,($D$8-$D$7/2)+Assumptions!$D$67)-MAX((H$8-H$7),($D$8-$D$7/2)))</f>
        <v>23654.57836</v>
      </c>
      <c r="I52" s="124">
        <f>$D$16/Assumptions!$D$67*MAX(0,MIN(I$8,($D$8-$D$7/2)+Assumptions!$D$67)-MAX((I$8-I$7),($D$8-$D$7/2)))</f>
        <v>11827.28918</v>
      </c>
      <c r="J52" s="124">
        <f>$D$16/Assumptions!$D$67*MAX(0,MIN(J$8,($D$8-$D$7/2)+Assumptions!$D$67)-MAX((J$8-J$7),($D$8-$D$7/2)))</f>
        <v>0</v>
      </c>
      <c r="K52" s="124">
        <f>$D$16/Assumptions!$D$67*MAX(0,MIN(K$8,($D$8-$D$7/2)+Assumptions!$D$67)-MAX((K$8-K$7),($D$8-$D$7/2)))</f>
        <v>0</v>
      </c>
      <c r="L52" s="124">
        <f>$D$16/Assumptions!$D$67*MAX(0,MIN(L$8,($D$8-$D$7/2)+Assumptions!$D$67)-MAX((L$8-L$7),($D$8-$D$7/2)))</f>
        <v>0</v>
      </c>
    </row>
    <row r="53" ht="21.0" customHeight="1">
      <c r="A53" s="81" t="s">
        <v>561</v>
      </c>
      <c r="B53" s="124">
        <f t="shared" si="27"/>
        <v>0</v>
      </c>
      <c r="C53" s="124">
        <f t="shared" si="28"/>
        <v>0</v>
      </c>
      <c r="D53" s="124">
        <f t="shared" ref="D53:D60" si="29">0</f>
        <v>0</v>
      </c>
      <c r="E53" s="124">
        <f>$E$16/Assumptions!$E$67*MAX(0,MIN(E$8,($E$8-$E$7/2)+Assumptions!$E$67)-MAX((E$8-E$7),($E$8-$E$7/2)))</f>
        <v>12346.54073</v>
      </c>
      <c r="F53" s="124">
        <f>$E$16/Assumptions!$E$67*MAX(0,MIN(F$8,($E$8-$E$7/2)+Assumptions!$E$67)-MAX((F$8-F$7),($E$8-$E$7/2)))</f>
        <v>24693.08146</v>
      </c>
      <c r="G53" s="124">
        <f>$E$16/Assumptions!$E$67*MAX(0,MIN(G$8,($E$8-$E$7/2)+Assumptions!$E$67)-MAX((G$8-G$7),($E$8-$E$7/2)))</f>
        <v>24693.08146</v>
      </c>
      <c r="H53" s="124">
        <f>$E$16/Assumptions!$E$67*MAX(0,MIN(H$8,($E$8-$E$7/2)+Assumptions!$E$67)-MAX((H$8-H$7),($E$8-$E$7/2)))</f>
        <v>24693.08146</v>
      </c>
      <c r="I53" s="124">
        <f>$E$16/Assumptions!$E$67*MAX(0,MIN(I$8,($E$8-$E$7/2)+Assumptions!$E$67)-MAX((I$8-I$7),($E$8-$E$7/2)))</f>
        <v>24693.08146</v>
      </c>
      <c r="J53" s="124">
        <f>$E$16/Assumptions!$E$67*MAX(0,MIN(J$8,($E$8-$E$7/2)+Assumptions!$E$67)-MAX((J$8-J$7),($E$8-$E$7/2)))</f>
        <v>12346.54073</v>
      </c>
      <c r="K53" s="124">
        <f>$E$16/Assumptions!$E$67*MAX(0,MIN(K$8,($E$8-$E$7/2)+Assumptions!$E$67)-MAX((K$8-K$7),($E$8-$E$7/2)))</f>
        <v>0</v>
      </c>
      <c r="L53" s="124">
        <f>$E$16/Assumptions!$E$67*MAX(0,MIN(L$8,($E$8-$E$7/2)+Assumptions!$E$67)-MAX((L$8-L$7),($E$8-$E$7/2)))</f>
        <v>0</v>
      </c>
    </row>
    <row r="54" ht="21.0" customHeight="1">
      <c r="A54" s="81" t="s">
        <v>562</v>
      </c>
      <c r="B54" s="124">
        <f t="shared" si="27"/>
        <v>0</v>
      </c>
      <c r="C54" s="124">
        <f t="shared" si="28"/>
        <v>0</v>
      </c>
      <c r="D54" s="124">
        <f t="shared" si="29"/>
        <v>0</v>
      </c>
      <c r="E54" s="124">
        <f t="shared" ref="E54:E60" si="30">0</f>
        <v>0</v>
      </c>
      <c r="F54" s="124">
        <f>$F$16/Assumptions!$F$67*MAX(0,MIN(F$8,($F$8-$F$7/2)+Assumptions!$F$67)-MAX((F$8-F$7),($F$8-$F$7/2)))</f>
        <v>12562.53693</v>
      </c>
      <c r="G54" s="124">
        <f>$F$16/Assumptions!$F$67*MAX(0,MIN(G$8,($F$8-$F$7/2)+Assumptions!$F$67)-MAX((G$8-G$7),($F$8-$F$7/2)))</f>
        <v>25125.07387</v>
      </c>
      <c r="H54" s="124">
        <f>$F$16/Assumptions!$F$67*MAX(0,MIN(H$8,($F$8-$F$7/2)+Assumptions!$F$67)-MAX((H$8-H$7),($F$8-$F$7/2)))</f>
        <v>25125.07387</v>
      </c>
      <c r="I54" s="124">
        <f>$F$16/Assumptions!$F$67*MAX(0,MIN(I$8,($F$8-$F$7/2)+Assumptions!$F$67)-MAX((I$8-I$7),($F$8-$F$7/2)))</f>
        <v>25125.07387</v>
      </c>
      <c r="J54" s="124">
        <f>$F$16/Assumptions!$F$67*MAX(0,MIN(J$8,($F$8-$F$7/2)+Assumptions!$F$67)-MAX((J$8-J$7),($F$8-$F$7/2)))</f>
        <v>25125.07387</v>
      </c>
      <c r="K54" s="124">
        <f>$F$16/Assumptions!$F$67*MAX(0,MIN(K$8,($F$8-$F$7/2)+Assumptions!$F$67)-MAX((K$8-K$7),($F$8-$F$7/2)))</f>
        <v>12562.53693</v>
      </c>
      <c r="L54" s="124">
        <f>$F$16/Assumptions!$F$67*MAX(0,MIN(L$8,($F$8-$F$7/2)+Assumptions!$F$67)-MAX((L$8-L$7),($F$8-$F$7/2)))</f>
        <v>0</v>
      </c>
    </row>
    <row r="55" ht="21.0" customHeight="1">
      <c r="A55" s="81" t="s">
        <v>563</v>
      </c>
      <c r="B55" s="124">
        <f t="shared" si="27"/>
        <v>0</v>
      </c>
      <c r="C55" s="124">
        <f t="shared" si="28"/>
        <v>0</v>
      </c>
      <c r="D55" s="124">
        <f t="shared" si="29"/>
        <v>0</v>
      </c>
      <c r="E55" s="124">
        <f t="shared" si="30"/>
        <v>0</v>
      </c>
      <c r="F55" s="124">
        <f t="shared" ref="F55:F60" si="31">0</f>
        <v>0</v>
      </c>
      <c r="G55" s="124">
        <f>$G$16/Assumptions!$G$67*MAX(0,MIN(G$8,($G$8-$G$7/2)+Assumptions!$G$67)-MAX((G$8-G$7),($G$8-$G$7/2)))</f>
        <v>12590.45685</v>
      </c>
      <c r="H55" s="124">
        <f>$G$16/Assumptions!$G$67*MAX(0,MIN(H$8,($G$8-$G$7/2)+Assumptions!$G$67)-MAX((H$8-H$7),($G$8-$G$7/2)))</f>
        <v>25180.91371</v>
      </c>
      <c r="I55" s="124">
        <f>$G$16/Assumptions!$G$67*MAX(0,MIN(I$8,($G$8-$G$7/2)+Assumptions!$G$67)-MAX((I$8-I$7),($G$8-$G$7/2)))</f>
        <v>25180.91371</v>
      </c>
      <c r="J55" s="124">
        <f>$G$16/Assumptions!$G$67*MAX(0,MIN(J$8,($G$8-$G$7/2)+Assumptions!$G$67)-MAX((J$8-J$7),($G$8-$G$7/2)))</f>
        <v>25180.91371</v>
      </c>
      <c r="K55" s="124">
        <f>$G$16/Assumptions!$G$67*MAX(0,MIN(K$8,($G$8-$G$7/2)+Assumptions!$G$67)-MAX((K$8-K$7),($G$8-$G$7/2)))</f>
        <v>25180.91371</v>
      </c>
      <c r="L55" s="124">
        <f>$G$16/Assumptions!$G$67*MAX(0,MIN(L$8,($G$8-$G$7/2)+Assumptions!$G$67)-MAX((L$8-L$7),($G$8-$G$7/2)))</f>
        <v>12590.45685</v>
      </c>
    </row>
    <row r="56" ht="21.0" customHeight="1">
      <c r="A56" s="81" t="s">
        <v>564</v>
      </c>
      <c r="B56" s="124">
        <f t="shared" si="27"/>
        <v>0</v>
      </c>
      <c r="C56" s="124">
        <f t="shared" si="28"/>
        <v>0</v>
      </c>
      <c r="D56" s="124">
        <f t="shared" si="29"/>
        <v>0</v>
      </c>
      <c r="E56" s="124">
        <f t="shared" si="30"/>
        <v>0</v>
      </c>
      <c r="F56" s="124">
        <f t="shared" si="31"/>
        <v>0</v>
      </c>
      <c r="G56" s="124">
        <f t="shared" ref="G56:G60" si="32">0</f>
        <v>0</v>
      </c>
      <c r="H56" s="124">
        <f>$H$16/Assumptions!$G$67*MAX(0,MIN(H$8,($H$8-$H$7/2)+Assumptions!$G$67)-MAX((H$8-H$7),($H$8-$H$7/2)))</f>
        <v>12403.94918</v>
      </c>
      <c r="I56" s="124">
        <f>$H$16/Assumptions!$G$67*MAX(0,MIN(I$8,($H$8-$H$7/2)+Assumptions!$G$67)-MAX((I$8-I$7),($H$8-$H$7/2)))</f>
        <v>24807.89836</v>
      </c>
      <c r="J56" s="124">
        <f>$H$16/Assumptions!$G$67*MAX(0,MIN(J$8,($H$8-$H$7/2)+Assumptions!$G$67)-MAX((J$8-J$7),($H$8-$H$7/2)))</f>
        <v>24807.89836</v>
      </c>
      <c r="K56" s="124">
        <f>$H$16/Assumptions!$G$67*MAX(0,MIN(K$8,($H$8-$H$7/2)+Assumptions!$G$67)-MAX((K$8-K$7),($H$8-$H$7/2)))</f>
        <v>24807.89836</v>
      </c>
      <c r="L56" s="124">
        <f>$H$16/Assumptions!$G$67*MAX(0,MIN(L$8,($H$8-$H$7/2)+Assumptions!$G$67)-MAX((L$8-L$7),($H$8-$H$7/2)))</f>
        <v>24807.89836</v>
      </c>
    </row>
    <row r="57" ht="21.0" customHeight="1">
      <c r="A57" s="81" t="s">
        <v>565</v>
      </c>
      <c r="B57" s="124">
        <f t="shared" si="27"/>
        <v>0</v>
      </c>
      <c r="C57" s="124">
        <f t="shared" si="28"/>
        <v>0</v>
      </c>
      <c r="D57" s="124">
        <f t="shared" si="29"/>
        <v>0</v>
      </c>
      <c r="E57" s="124">
        <f t="shared" si="30"/>
        <v>0</v>
      </c>
      <c r="F57" s="124">
        <f t="shared" si="31"/>
        <v>0</v>
      </c>
      <c r="G57" s="124">
        <f t="shared" si="32"/>
        <v>0</v>
      </c>
      <c r="H57" s="124">
        <f t="shared" ref="H57:H60" si="33">0</f>
        <v>0</v>
      </c>
      <c r="I57" s="124">
        <f>$I$16/Assumptions!$G$67*MAX(0,MIN(I$8,($I$8-$I$7/2)+Assumptions!$G$67)-MAX((I$8-I$7),($I$8-$I$7/2)))</f>
        <v>12483.05879</v>
      </c>
      <c r="J57" s="124">
        <f>$I$16/Assumptions!$G$67*MAX(0,MIN(J$8,($I$8-$I$7/2)+Assumptions!$G$67)-MAX((J$8-J$7),($I$8-$I$7/2)))</f>
        <v>24966.11759</v>
      </c>
      <c r="K57" s="124">
        <f>$I$16/Assumptions!$G$67*MAX(0,MIN(K$8,($I$8-$I$7/2)+Assumptions!$G$67)-MAX((K$8-K$7),($I$8-$I$7/2)))</f>
        <v>24966.11759</v>
      </c>
      <c r="L57" s="124">
        <f>$I$16/Assumptions!$G$67*MAX(0,MIN(L$8,($I$8-$I$7/2)+Assumptions!$G$67)-MAX((L$8-L$7),($I$8-$I$7/2)))</f>
        <v>24966.11759</v>
      </c>
    </row>
    <row r="58" ht="21.0" customHeight="1">
      <c r="A58" s="81" t="s">
        <v>566</v>
      </c>
      <c r="B58" s="124">
        <f t="shared" si="27"/>
        <v>0</v>
      </c>
      <c r="C58" s="124">
        <f t="shared" si="28"/>
        <v>0</v>
      </c>
      <c r="D58" s="124">
        <f t="shared" si="29"/>
        <v>0</v>
      </c>
      <c r="E58" s="124">
        <f t="shared" si="30"/>
        <v>0</v>
      </c>
      <c r="F58" s="124">
        <f t="shared" si="31"/>
        <v>0</v>
      </c>
      <c r="G58" s="124">
        <f t="shared" si="32"/>
        <v>0</v>
      </c>
      <c r="H58" s="124">
        <f t="shared" si="33"/>
        <v>0</v>
      </c>
      <c r="I58" s="124">
        <f t="shared" ref="I58:I60" si="34">0</f>
        <v>0</v>
      </c>
      <c r="J58" s="124">
        <f>$J$16/Assumptions!$G$67*MAX(0,MIN(J$8,($J$8-$J$7/2)+Assumptions!$G$67)-MAX((J$8-J$7),($J$8-$J$7/2)))</f>
        <v>12356.97378</v>
      </c>
      <c r="K58" s="124">
        <f>$J$16/Assumptions!$G$67*MAX(0,MIN(K$8,($J$8-$J$7/2)+Assumptions!$G$67)-MAX((K$8-K$7),($J$8-$J$7/2)))</f>
        <v>24713.94755</v>
      </c>
      <c r="L58" s="124">
        <f>$J$16/Assumptions!$G$67*MAX(0,MIN(L$8,($J$8-$J$7/2)+Assumptions!$G$67)-MAX((L$8-L$7),($J$8-$J$7/2)))</f>
        <v>24713.94755</v>
      </c>
    </row>
    <row r="59" ht="21.0" customHeight="1">
      <c r="A59" s="81" t="s">
        <v>567</v>
      </c>
      <c r="B59" s="124">
        <f t="shared" si="27"/>
        <v>0</v>
      </c>
      <c r="C59" s="124">
        <f t="shared" si="28"/>
        <v>0</v>
      </c>
      <c r="D59" s="124">
        <f t="shared" si="29"/>
        <v>0</v>
      </c>
      <c r="E59" s="124">
        <f t="shared" si="30"/>
        <v>0</v>
      </c>
      <c r="F59" s="124">
        <f t="shared" si="31"/>
        <v>0</v>
      </c>
      <c r="G59" s="124">
        <f t="shared" si="32"/>
        <v>0</v>
      </c>
      <c r="H59" s="124">
        <f t="shared" si="33"/>
        <v>0</v>
      </c>
      <c r="I59" s="124">
        <f t="shared" si="34"/>
        <v>0</v>
      </c>
      <c r="J59" s="124">
        <f t="shared" ref="J59:J60" si="35">0</f>
        <v>0</v>
      </c>
      <c r="K59" s="124">
        <f>$K$16/Assumptions!$G$67*MAX(0,MIN(K$8,($K$8-$K$7/2)+Assumptions!$G$67)-MAX((K$8-K$7),($K$8-$K$7/2)))</f>
        <v>12070.09356</v>
      </c>
      <c r="L59" s="124">
        <f>$K$16/Assumptions!$G$67*MAX(0,MIN(L$8,($K$8-$K$7/2)+Assumptions!$G$67)-MAX((L$8-L$7),($K$8-$K$7/2)))</f>
        <v>24140.18713</v>
      </c>
    </row>
    <row r="60" ht="21.0" customHeight="1">
      <c r="A60" s="81" t="s">
        <v>568</v>
      </c>
      <c r="B60" s="124">
        <f t="shared" si="27"/>
        <v>0</v>
      </c>
      <c r="C60" s="124">
        <f t="shared" si="28"/>
        <v>0</v>
      </c>
      <c r="D60" s="124">
        <f t="shared" si="29"/>
        <v>0</v>
      </c>
      <c r="E60" s="124">
        <f t="shared" si="30"/>
        <v>0</v>
      </c>
      <c r="F60" s="124">
        <f t="shared" si="31"/>
        <v>0</v>
      </c>
      <c r="G60" s="124">
        <f t="shared" si="32"/>
        <v>0</v>
      </c>
      <c r="H60" s="124">
        <f t="shared" si="33"/>
        <v>0</v>
      </c>
      <c r="I60" s="124">
        <f t="shared" si="34"/>
        <v>0</v>
      </c>
      <c r="J60" s="124">
        <f t="shared" si="35"/>
        <v>0</v>
      </c>
      <c r="K60" s="124">
        <f>0</f>
        <v>0</v>
      </c>
      <c r="L60" s="124">
        <f>$L$16/Assumptions!$G$67*MAX(0,MIN(L$8,($L$8-$L$7/2)+Assumptions!$G$67)-MAX((L$8-L$7),($L$8-$L$7/2)))</f>
        <v>11643.26799</v>
      </c>
    </row>
    <row r="61" ht="21.0" customHeight="1">
      <c r="A61" s="149"/>
      <c r="B61" s="150"/>
      <c r="C61" s="150"/>
      <c r="D61" s="150"/>
      <c r="E61" s="150"/>
      <c r="F61" s="150"/>
      <c r="G61" s="150"/>
      <c r="H61" s="124"/>
      <c r="I61" s="124"/>
      <c r="J61" s="124"/>
      <c r="K61" s="124"/>
      <c r="L61" s="124"/>
    </row>
    <row r="62" ht="21.0" customHeight="1">
      <c r="A62" s="83"/>
      <c r="B62" s="124"/>
      <c r="C62" s="124"/>
      <c r="D62" s="124"/>
      <c r="E62" s="124"/>
      <c r="F62" s="124"/>
      <c r="G62" s="124"/>
      <c r="H62" s="124"/>
      <c r="I62" s="124"/>
      <c r="J62" s="124"/>
      <c r="K62" s="124"/>
      <c r="L62" s="124"/>
    </row>
    <row r="63" ht="21.0" customHeight="1">
      <c r="A63" s="80" t="s">
        <v>569</v>
      </c>
      <c r="B63" s="148"/>
      <c r="C63" s="148"/>
      <c r="D63" s="148"/>
      <c r="E63" s="148"/>
      <c r="F63" s="148"/>
      <c r="G63" s="148"/>
      <c r="H63" s="148"/>
      <c r="I63" s="148"/>
      <c r="J63" s="148"/>
      <c r="K63" s="148"/>
      <c r="L63" s="148"/>
    </row>
    <row r="64" ht="21.0" customHeight="1">
      <c r="A64" s="81" t="s">
        <v>570</v>
      </c>
      <c r="B64" s="124">
        <f>$B$17/Assumptions!$B$92*MAX(0,MIN(B$8,($B$8-$B$7/2)+Assumptions!$B$92)-MAX((B$8-B$7),($B$8-$B$7/2)))</f>
        <v>273.7725</v>
      </c>
      <c r="C64" s="124">
        <f>$B$17/Assumptions!$B$92*MAX(0,MIN(C$8,($B$8-$B$7/2)+Assumptions!$B$92)-MAX((C$8-C$7),($B$8-$B$7/2)))</f>
        <v>1095.09</v>
      </c>
      <c r="D64" s="124">
        <f>$B$17/Assumptions!$B$92*MAX(0,MIN(D$8,($B$8-$B$7/2)+Assumptions!$B$92)-MAX((D$8-D$7),($B$8-$B$7/2)))</f>
        <v>1095.09</v>
      </c>
      <c r="E64" s="124">
        <f>$B$17/Assumptions!$B$92*MAX(0,MIN(E$8,($B$8-$B$7/2)+Assumptions!$B$92)-MAX((E$8-E$7),($B$8-$B$7/2)))</f>
        <v>1095.09</v>
      </c>
      <c r="F64" s="124">
        <f>$B$17/Assumptions!$B$92*MAX(0,MIN(F$8,($B$8-$B$7/2)+Assumptions!$B$92)-MAX((F$8-F$7),($B$8-$B$7/2)))</f>
        <v>1095.09</v>
      </c>
      <c r="G64" s="124">
        <f>$B$17/Assumptions!$B$92*MAX(0,MIN(G$8,($B$8-$B$7/2)+Assumptions!$B$92)-MAX((G$8-G$7),($B$8-$B$7/2)))</f>
        <v>1095.09</v>
      </c>
      <c r="H64" s="124">
        <f>$B$17/Assumptions!$B$92*MAX(0,MIN(H$8,($B$8-$B$7/2)+Assumptions!$B$92)-MAX((H$8-H$7),($B$8-$B$7/2)))</f>
        <v>1095.09</v>
      </c>
      <c r="I64" s="124">
        <f>$B$17/Assumptions!$B$92*MAX(0,MIN(I$8,($B$8-$B$7/2)+Assumptions!$B$92)-MAX((I$8-I$7),($B$8-$B$7/2)))</f>
        <v>1095.09</v>
      </c>
      <c r="J64" s="124">
        <f>$B$17/Assumptions!$B$92*MAX(0,MIN(J$8,($B$8-$B$7/2)+Assumptions!$B$92)-MAX((J$8-J$7),($B$8-$B$7/2)))</f>
        <v>1095.09</v>
      </c>
      <c r="K64" s="124">
        <f>$B$17/Assumptions!$B$92*MAX(0,MIN(K$8,($B$8-$B$7/2)+Assumptions!$B$92)-MAX((K$8-K$7),($B$8-$B$7/2)))</f>
        <v>1095.09</v>
      </c>
      <c r="L64" s="124">
        <f>$B$17/Assumptions!$B$92*MAX(0,MIN(L$8,($B$8-$B$7/2)+Assumptions!$B$92)-MAX((L$8-L$7),($B$8-$B$7/2)))</f>
        <v>1095.09</v>
      </c>
    </row>
    <row r="65" ht="21.0" customHeight="1">
      <c r="A65" s="81" t="s">
        <v>571</v>
      </c>
      <c r="B65" s="124">
        <f t="shared" ref="B65:B74" si="36">0</f>
        <v>0</v>
      </c>
      <c r="C65" s="124">
        <f>$C$17/Assumptions!$B$92*MAX(0,MIN(C$8,($C$8-$C$7/2)+Assumptions!$B$92)-MAX((C$8-C$7),($C$8-$C$7/2)))</f>
        <v>1762.010928</v>
      </c>
      <c r="D65" s="124">
        <f>$C$17/Assumptions!$B$92*MAX(0,MIN(D$8,($C$8-$C$7/2)+Assumptions!$B$92)-MAX((D$8-D$7),($C$8-$C$7/2)))</f>
        <v>3524.021855</v>
      </c>
      <c r="E65" s="124">
        <f>$C$17/Assumptions!$B$92*MAX(0,MIN(E$8,($C$8-$C$7/2)+Assumptions!$B$92)-MAX((E$8-E$7),($C$8-$C$7/2)))</f>
        <v>3524.021855</v>
      </c>
      <c r="F65" s="124">
        <f>$C$17/Assumptions!$B$92*MAX(0,MIN(F$8,($C$8-$C$7/2)+Assumptions!$B$92)-MAX((F$8-F$7),($C$8-$C$7/2)))</f>
        <v>3524.021855</v>
      </c>
      <c r="G65" s="124">
        <f>$C$17/Assumptions!$B$92*MAX(0,MIN(G$8,($C$8-$C$7/2)+Assumptions!$B$92)-MAX((G$8-G$7),($C$8-$C$7/2)))</f>
        <v>3524.021855</v>
      </c>
      <c r="H65" s="124">
        <f>$C$17/Assumptions!$B$92*MAX(0,MIN(H$8,($C$8-$C$7/2)+Assumptions!$B$92)-MAX((H$8-H$7),($C$8-$C$7/2)))</f>
        <v>3524.021855</v>
      </c>
      <c r="I65" s="124">
        <f>$C$17/Assumptions!$B$92*MAX(0,MIN(I$8,($C$8-$C$7/2)+Assumptions!$B$92)-MAX((I$8-I$7),($C$8-$C$7/2)))</f>
        <v>3524.021855</v>
      </c>
      <c r="J65" s="124">
        <f>$C$17/Assumptions!$B$92*MAX(0,MIN(J$8,($C$8-$C$7/2)+Assumptions!$B$92)-MAX((J$8-J$7),($C$8-$C$7/2)))</f>
        <v>3524.021855</v>
      </c>
      <c r="K65" s="124">
        <f>$C$17/Assumptions!$B$92*MAX(0,MIN(K$8,($C$8-$C$7/2)+Assumptions!$B$92)-MAX((K$8-K$7),($C$8-$C$7/2)))</f>
        <v>3524.021855</v>
      </c>
      <c r="L65" s="124">
        <f>$C$17/Assumptions!$B$92*MAX(0,MIN(L$8,($C$8-$C$7/2)+Assumptions!$B$92)-MAX((L$8-L$7),($C$8-$C$7/2)))</f>
        <v>3524.021855</v>
      </c>
    </row>
    <row r="66" ht="21.0" customHeight="1">
      <c r="A66" s="81" t="s">
        <v>572</v>
      </c>
      <c r="B66" s="124">
        <f t="shared" si="36"/>
        <v>0</v>
      </c>
      <c r="C66" s="124">
        <f t="shared" ref="C66:C74" si="37">0</f>
        <v>0</v>
      </c>
      <c r="D66" s="124">
        <f>$D$17/Assumptions!$B$92*MAX(0,MIN(D$8,($D$8-$D$7/2)+Assumptions!$B$92)-MAX((D$8-D$7),($D$8-$D$7/2)))</f>
        <v>1971.214864</v>
      </c>
      <c r="E66" s="124">
        <f>$D$17/Assumptions!$B$92*MAX(0,MIN(E$8,($D$8-$D$7/2)+Assumptions!$B$92)-MAX((E$8-E$7),($D$8-$D$7/2)))</f>
        <v>3942.429727</v>
      </c>
      <c r="F66" s="124">
        <f>$D$17/Assumptions!$B$92*MAX(0,MIN(F$8,($D$8-$D$7/2)+Assumptions!$B$92)-MAX((F$8-F$7),($D$8-$D$7/2)))</f>
        <v>3942.429727</v>
      </c>
      <c r="G66" s="124">
        <f>$D$17/Assumptions!$B$92*MAX(0,MIN(G$8,($D$8-$D$7/2)+Assumptions!$B$92)-MAX((G$8-G$7),($D$8-$D$7/2)))</f>
        <v>3942.429727</v>
      </c>
      <c r="H66" s="124">
        <f>$D$17/Assumptions!$B$92*MAX(0,MIN(H$8,($D$8-$D$7/2)+Assumptions!$B$92)-MAX((H$8-H$7),($D$8-$D$7/2)))</f>
        <v>3942.429727</v>
      </c>
      <c r="I66" s="124">
        <f>$D$17/Assumptions!$B$92*MAX(0,MIN(I$8,($D$8-$D$7/2)+Assumptions!$B$92)-MAX((I$8-I$7),($D$8-$D$7/2)))</f>
        <v>3942.429727</v>
      </c>
      <c r="J66" s="124">
        <f>$D$17/Assumptions!$B$92*MAX(0,MIN(J$8,($D$8-$D$7/2)+Assumptions!$B$92)-MAX((J$8-J$7),($D$8-$D$7/2)))</f>
        <v>3942.429727</v>
      </c>
      <c r="K66" s="124">
        <f>$D$17/Assumptions!$B$92*MAX(0,MIN(K$8,($D$8-$D$7/2)+Assumptions!$B$92)-MAX((K$8-K$7),($D$8-$D$7/2)))</f>
        <v>3942.429727</v>
      </c>
      <c r="L66" s="124">
        <f>$D$17/Assumptions!$B$92*MAX(0,MIN(L$8,($D$8-$D$7/2)+Assumptions!$B$92)-MAX((L$8-L$7),($D$8-$D$7/2)))</f>
        <v>3942.429727</v>
      </c>
    </row>
    <row r="67" ht="21.0" customHeight="1">
      <c r="A67" s="81" t="s">
        <v>573</v>
      </c>
      <c r="B67" s="124">
        <f t="shared" si="36"/>
        <v>0</v>
      </c>
      <c r="C67" s="124">
        <f t="shared" si="37"/>
        <v>0</v>
      </c>
      <c r="D67" s="124">
        <f t="shared" ref="D67:D74" si="38">0</f>
        <v>0</v>
      </c>
      <c r="E67" s="124">
        <f>$E$17/Assumptions!$B$92*MAX(0,MIN(E$8,($E$8-$E$7/2)+Assumptions!$B$92)-MAX((E$8-E$7),($E$8-$E$7/2)))</f>
        <v>2057.756789</v>
      </c>
      <c r="F67" s="124">
        <f>$E$17/Assumptions!$B$92*MAX(0,MIN(F$8,($E$8-$E$7/2)+Assumptions!$B$92)-MAX((F$8-F$7),($E$8-$E$7/2)))</f>
        <v>4115.513577</v>
      </c>
      <c r="G67" s="124">
        <f>$E$17/Assumptions!$B$92*MAX(0,MIN(G$8,($E$8-$E$7/2)+Assumptions!$B$92)-MAX((G$8-G$7),($E$8-$E$7/2)))</f>
        <v>4115.513577</v>
      </c>
      <c r="H67" s="124">
        <f>$E$17/Assumptions!$B$92*MAX(0,MIN(H$8,($E$8-$E$7/2)+Assumptions!$B$92)-MAX((H$8-H$7),($E$8-$E$7/2)))</f>
        <v>4115.513577</v>
      </c>
      <c r="I67" s="124">
        <f>$E$17/Assumptions!$B$92*MAX(0,MIN(I$8,($E$8-$E$7/2)+Assumptions!$B$92)-MAX((I$8-I$7),($E$8-$E$7/2)))</f>
        <v>4115.513577</v>
      </c>
      <c r="J67" s="124">
        <f>$E$17/Assumptions!$B$92*MAX(0,MIN(J$8,($E$8-$E$7/2)+Assumptions!$B$92)-MAX((J$8-J$7),($E$8-$E$7/2)))</f>
        <v>4115.513577</v>
      </c>
      <c r="K67" s="124">
        <f>$E$17/Assumptions!$B$92*MAX(0,MIN(K$8,($E$8-$E$7/2)+Assumptions!$B$92)-MAX((K$8-K$7),($E$8-$E$7/2)))</f>
        <v>4115.513577</v>
      </c>
      <c r="L67" s="124">
        <f>$E$17/Assumptions!$B$92*MAX(0,MIN(L$8,($E$8-$E$7/2)+Assumptions!$B$92)-MAX((L$8-L$7),($E$8-$E$7/2)))</f>
        <v>4115.513577</v>
      </c>
    </row>
    <row r="68" ht="21.0" customHeight="1">
      <c r="A68" s="81" t="s">
        <v>574</v>
      </c>
      <c r="B68" s="124">
        <f t="shared" si="36"/>
        <v>0</v>
      </c>
      <c r="C68" s="124">
        <f t="shared" si="37"/>
        <v>0</v>
      </c>
      <c r="D68" s="124">
        <f t="shared" si="38"/>
        <v>0</v>
      </c>
      <c r="E68" s="124">
        <f t="shared" ref="E68:E74" si="39">0</f>
        <v>0</v>
      </c>
      <c r="F68" s="124">
        <f>$F$17/Assumptions!$B$92*MAX(0,MIN(F$8,($F$8-$F$7/2)+Assumptions!$B$92)-MAX((F$8-F$7),($F$8-$F$7/2)))</f>
        <v>2093.756156</v>
      </c>
      <c r="G68" s="124">
        <f>$F$17/Assumptions!$B$92*MAX(0,MIN(G$8,($F$8-$F$7/2)+Assumptions!$B$92)-MAX((G$8-G$7),($F$8-$F$7/2)))</f>
        <v>4187.512311</v>
      </c>
      <c r="H68" s="124">
        <f>$F$17/Assumptions!$B$92*MAX(0,MIN(H$8,($F$8-$F$7/2)+Assumptions!$B$92)-MAX((H$8-H$7),($F$8-$F$7/2)))</f>
        <v>4187.512311</v>
      </c>
      <c r="I68" s="124">
        <f>$F$17/Assumptions!$B$92*MAX(0,MIN(I$8,($F$8-$F$7/2)+Assumptions!$B$92)-MAX((I$8-I$7),($F$8-$F$7/2)))</f>
        <v>4187.512311</v>
      </c>
      <c r="J68" s="124">
        <f>$F$17/Assumptions!$B$92*MAX(0,MIN(J$8,($F$8-$F$7/2)+Assumptions!$B$92)-MAX((J$8-J$7),($F$8-$F$7/2)))</f>
        <v>4187.512311</v>
      </c>
      <c r="K68" s="124">
        <f>$F$17/Assumptions!$B$92*MAX(0,MIN(K$8,($F$8-$F$7/2)+Assumptions!$B$92)-MAX((K$8-K$7),($F$8-$F$7/2)))</f>
        <v>4187.512311</v>
      </c>
      <c r="L68" s="124">
        <f>$F$17/Assumptions!$B$92*MAX(0,MIN(L$8,($F$8-$F$7/2)+Assumptions!$B$92)-MAX((L$8-L$7),($F$8-$F$7/2)))</f>
        <v>4187.512311</v>
      </c>
    </row>
    <row r="69" ht="21.0" customHeight="1">
      <c r="A69" s="81" t="s">
        <v>575</v>
      </c>
      <c r="B69" s="124">
        <f t="shared" si="36"/>
        <v>0</v>
      </c>
      <c r="C69" s="124">
        <f t="shared" si="37"/>
        <v>0</v>
      </c>
      <c r="D69" s="124">
        <f t="shared" si="38"/>
        <v>0</v>
      </c>
      <c r="E69" s="124">
        <f t="shared" si="39"/>
        <v>0</v>
      </c>
      <c r="F69" s="124">
        <f t="shared" ref="F69:F74" si="40">0</f>
        <v>0</v>
      </c>
      <c r="G69" s="124">
        <f>$G$17/Assumptions!$B$92*MAX(0,MIN(G$8,($G$8-$G$7/2)+Assumptions!$B$92)-MAX((G$8-G$7),($G$8-$G$7/2)))</f>
        <v>2098.409476</v>
      </c>
      <c r="H69" s="124">
        <f>$G$17/Assumptions!$B$92*MAX(0,MIN(H$8,($G$8-$G$7/2)+Assumptions!$B$92)-MAX((H$8-H$7),($G$8-$G$7/2)))</f>
        <v>4196.818951</v>
      </c>
      <c r="I69" s="124">
        <f>$G$17/Assumptions!$B$92*MAX(0,MIN(I$8,($G$8-$G$7/2)+Assumptions!$B$92)-MAX((I$8-I$7),($G$8-$G$7/2)))</f>
        <v>4196.818951</v>
      </c>
      <c r="J69" s="124">
        <f>$G$17/Assumptions!$B$92*MAX(0,MIN(J$8,($G$8-$G$7/2)+Assumptions!$B$92)-MAX((J$8-J$7),($G$8-$G$7/2)))</f>
        <v>4196.818951</v>
      </c>
      <c r="K69" s="124">
        <f>$G$17/Assumptions!$B$92*MAX(0,MIN(K$8,($G$8-$G$7/2)+Assumptions!$B$92)-MAX((K$8-K$7),($G$8-$G$7/2)))</f>
        <v>4196.818951</v>
      </c>
      <c r="L69" s="124">
        <f>$G$17/Assumptions!$B$92*MAX(0,MIN(L$8,($G$8-$G$7/2)+Assumptions!$B$92)-MAX((L$8-L$7),($G$8-$G$7/2)))</f>
        <v>4196.818951</v>
      </c>
    </row>
    <row r="70" ht="21.0" customHeight="1">
      <c r="A70" s="81" t="s">
        <v>576</v>
      </c>
      <c r="B70" s="124">
        <f t="shared" si="36"/>
        <v>0</v>
      </c>
      <c r="C70" s="124">
        <f t="shared" si="37"/>
        <v>0</v>
      </c>
      <c r="D70" s="124">
        <f t="shared" si="38"/>
        <v>0</v>
      </c>
      <c r="E70" s="124">
        <f t="shared" si="39"/>
        <v>0</v>
      </c>
      <c r="F70" s="124">
        <f t="shared" si="40"/>
        <v>0</v>
      </c>
      <c r="G70" s="124">
        <f t="shared" ref="G70:G74" si="41">0</f>
        <v>0</v>
      </c>
      <c r="H70" s="124">
        <f>$H$17/Assumptions!$B$92*MAX(0,MIN(H$8,($H$8-$H$7/2)+Assumptions!$B$92)-MAX((H$8-H$7),($H$8-$H$7/2)))</f>
        <v>2067.324863</v>
      </c>
      <c r="I70" s="124">
        <f>$H$17/Assumptions!$B$92*MAX(0,MIN(I$8,($H$8-$H$7/2)+Assumptions!$B$92)-MAX((I$8-I$7),($H$8-$H$7/2)))</f>
        <v>4134.649726</v>
      </c>
      <c r="J70" s="124">
        <f>$H$17/Assumptions!$B$92*MAX(0,MIN(J$8,($H$8-$H$7/2)+Assumptions!$B$92)-MAX((J$8-J$7),($H$8-$H$7/2)))</f>
        <v>4134.649726</v>
      </c>
      <c r="K70" s="124">
        <f>$H$17/Assumptions!$B$92*MAX(0,MIN(K$8,($H$8-$H$7/2)+Assumptions!$B$92)-MAX((K$8-K$7),($H$8-$H$7/2)))</f>
        <v>4134.649726</v>
      </c>
      <c r="L70" s="124">
        <f>$H$17/Assumptions!$B$92*MAX(0,MIN(L$8,($H$8-$H$7/2)+Assumptions!$B$92)-MAX((L$8-L$7),($H$8-$H$7/2)))</f>
        <v>4134.649726</v>
      </c>
    </row>
    <row r="71" ht="21.0" customHeight="1">
      <c r="A71" s="81" t="s">
        <v>577</v>
      </c>
      <c r="B71" s="124">
        <f t="shared" si="36"/>
        <v>0</v>
      </c>
      <c r="C71" s="124">
        <f t="shared" si="37"/>
        <v>0</v>
      </c>
      <c r="D71" s="124">
        <f t="shared" si="38"/>
        <v>0</v>
      </c>
      <c r="E71" s="124">
        <f t="shared" si="39"/>
        <v>0</v>
      </c>
      <c r="F71" s="124">
        <f t="shared" si="40"/>
        <v>0</v>
      </c>
      <c r="G71" s="124">
        <f t="shared" si="41"/>
        <v>0</v>
      </c>
      <c r="H71" s="124">
        <f t="shared" ref="H71:H74" si="42">0</f>
        <v>0</v>
      </c>
      <c r="I71" s="124">
        <f>$I$17/Assumptions!$B$92*MAX(0,MIN(I$8,($I$8-$I$7/2)+Assumptions!$B$92)-MAX((I$8-I$7),($I$8-$I$7/2)))</f>
        <v>2080.509799</v>
      </c>
      <c r="J71" s="124">
        <f>$I$17/Assumptions!$B$92*MAX(0,MIN(J$8,($I$8-$I$7/2)+Assumptions!$B$92)-MAX((J$8-J$7),($I$8-$I$7/2)))</f>
        <v>4161.019598</v>
      </c>
      <c r="K71" s="124">
        <f>$I$17/Assumptions!$B$92*MAX(0,MIN(K$8,($I$8-$I$7/2)+Assumptions!$B$92)-MAX((K$8-K$7),($I$8-$I$7/2)))</f>
        <v>4161.019598</v>
      </c>
      <c r="L71" s="124">
        <f>$I$17/Assumptions!$B$92*MAX(0,MIN(L$8,($I$8-$I$7/2)+Assumptions!$B$92)-MAX((L$8-L$7),($I$8-$I$7/2)))</f>
        <v>4161.019598</v>
      </c>
    </row>
    <row r="72" ht="21.0" customHeight="1">
      <c r="A72" s="81" t="s">
        <v>578</v>
      </c>
      <c r="B72" s="124">
        <f t="shared" si="36"/>
        <v>0</v>
      </c>
      <c r="C72" s="124">
        <f t="shared" si="37"/>
        <v>0</v>
      </c>
      <c r="D72" s="124">
        <f t="shared" si="38"/>
        <v>0</v>
      </c>
      <c r="E72" s="124">
        <f t="shared" si="39"/>
        <v>0</v>
      </c>
      <c r="F72" s="124">
        <f t="shared" si="40"/>
        <v>0</v>
      </c>
      <c r="G72" s="124">
        <f t="shared" si="41"/>
        <v>0</v>
      </c>
      <c r="H72" s="124">
        <f t="shared" si="42"/>
        <v>0</v>
      </c>
      <c r="I72" s="124">
        <f t="shared" ref="I72:I74" si="43">0</f>
        <v>0</v>
      </c>
      <c r="J72" s="124">
        <f>$J$17/Assumptions!$B$92*MAX(0,MIN(J$8,($J$8-$J$7/2)+Assumptions!$B$92)-MAX((J$8-J$7),($J$8-$J$7/2)))</f>
        <v>2059.49563</v>
      </c>
      <c r="K72" s="124">
        <f>$J$17/Assumptions!$B$92*MAX(0,MIN(K$8,($J$8-$J$7/2)+Assumptions!$B$92)-MAX((K$8-K$7),($J$8-$J$7/2)))</f>
        <v>4118.991259</v>
      </c>
      <c r="L72" s="124">
        <f>$J$17/Assumptions!$B$92*MAX(0,MIN(L$8,($J$8-$J$7/2)+Assumptions!$B$92)-MAX((L$8-L$7),($J$8-$J$7/2)))</f>
        <v>4118.991259</v>
      </c>
    </row>
    <row r="73" ht="21.0" customHeight="1">
      <c r="A73" s="151" t="s">
        <v>579</v>
      </c>
      <c r="B73" s="150">
        <f t="shared" si="36"/>
        <v>0</v>
      </c>
      <c r="C73" s="150">
        <f t="shared" si="37"/>
        <v>0</v>
      </c>
      <c r="D73" s="150">
        <f t="shared" si="38"/>
        <v>0</v>
      </c>
      <c r="E73" s="150">
        <f t="shared" si="39"/>
        <v>0</v>
      </c>
      <c r="F73" s="150">
        <f t="shared" si="40"/>
        <v>0</v>
      </c>
      <c r="G73" s="150">
        <f t="shared" si="41"/>
        <v>0</v>
      </c>
      <c r="H73" s="124">
        <f t="shared" si="42"/>
        <v>0</v>
      </c>
      <c r="I73" s="124">
        <f t="shared" si="43"/>
        <v>0</v>
      </c>
      <c r="J73" s="124">
        <f t="shared" ref="J73:J74" si="44">0</f>
        <v>0</v>
      </c>
      <c r="K73" s="124">
        <f>$K$17/Assumptions!$B$92*MAX(0,MIN(K$8,($K$8-$K$7/2)+Assumptions!$B$92)-MAX((K$8-K$7),($K$8-$K$7/2)))</f>
        <v>2011.682261</v>
      </c>
      <c r="L73" s="124">
        <f>$K$17/Assumptions!$B$92*MAX(0,MIN(L$8,($K$8-$K$7/2)+Assumptions!$B$92)-MAX((L$8-L$7),($K$8-$K$7/2)))</f>
        <v>4023.364522</v>
      </c>
    </row>
    <row r="74" ht="21.0" customHeight="1">
      <c r="A74" s="81" t="s">
        <v>580</v>
      </c>
      <c r="B74" s="124">
        <f t="shared" si="36"/>
        <v>0</v>
      </c>
      <c r="C74" s="124">
        <f t="shared" si="37"/>
        <v>0</v>
      </c>
      <c r="D74" s="124">
        <f t="shared" si="38"/>
        <v>0</v>
      </c>
      <c r="E74" s="124">
        <f t="shared" si="39"/>
        <v>0</v>
      </c>
      <c r="F74" s="124">
        <f t="shared" si="40"/>
        <v>0</v>
      </c>
      <c r="G74" s="124">
        <f t="shared" si="41"/>
        <v>0</v>
      </c>
      <c r="H74" s="124">
        <f t="shared" si="42"/>
        <v>0</v>
      </c>
      <c r="I74" s="124">
        <f t="shared" si="43"/>
        <v>0</v>
      </c>
      <c r="J74" s="124">
        <f t="shared" si="44"/>
        <v>0</v>
      </c>
      <c r="K74" s="124">
        <f>0</f>
        <v>0</v>
      </c>
      <c r="L74" s="124">
        <f>$L$17/Assumptions!$B$92*MAX(0,MIN(L$8,($L$8-$L$7/2)+Assumptions!$B$92)-MAX((L$8-L$7),($L$8-$L$7/2)))</f>
        <v>1940.544665</v>
      </c>
    </row>
    <row r="75" ht="21.0" customHeight="1">
      <c r="A75" s="83"/>
      <c r="B75" s="124"/>
      <c r="C75" s="124"/>
      <c r="D75" s="124"/>
      <c r="E75" s="124"/>
      <c r="F75" s="124"/>
      <c r="G75" s="124"/>
      <c r="H75" s="124"/>
      <c r="I75" s="124"/>
      <c r="J75" s="124"/>
      <c r="K75" s="124"/>
      <c r="L75" s="124"/>
    </row>
    <row r="76" ht="21.0" customHeight="1">
      <c r="A76" s="83"/>
      <c r="B76" s="124"/>
      <c r="C76" s="124"/>
      <c r="D76" s="124"/>
      <c r="E76" s="124"/>
      <c r="F76" s="124"/>
      <c r="G76" s="124"/>
      <c r="H76" s="124"/>
      <c r="I76" s="124"/>
      <c r="J76" s="124"/>
      <c r="K76" s="124"/>
      <c r="L76" s="124"/>
    </row>
    <row r="77" ht="21.0" customHeight="1">
      <c r="A77" s="80" t="s">
        <v>581</v>
      </c>
      <c r="B77" s="148"/>
      <c r="C77" s="148"/>
      <c r="D77" s="148"/>
      <c r="E77" s="148"/>
      <c r="F77" s="148"/>
      <c r="G77" s="148"/>
      <c r="H77" s="148"/>
      <c r="I77" s="148"/>
      <c r="J77" s="148"/>
      <c r="K77" s="148"/>
      <c r="L77" s="148"/>
    </row>
    <row r="78" ht="21.0" customHeight="1">
      <c r="A78" s="81" t="s">
        <v>582</v>
      </c>
      <c r="B78" s="124">
        <f t="shared" ref="B78:B88" si="45">0</f>
        <v>0</v>
      </c>
      <c r="C78" s="124">
        <f>IF(AND(($B$8-$B$7/2)+Assumptions!$B$67&gt;(C$8-C$7),($B$8-$B$7/2)+Assumptions!$B$67&lt;=C$8),$B$16,0)</f>
        <v>0</v>
      </c>
      <c r="D78" s="124">
        <f>IF(AND(($B$8-$B$7/2)+Assumptions!$B$67&gt;(D$8-D$7),($B$8-$B$7/2)+Assumptions!$B$67&lt;=D$8),$B$16,0)</f>
        <v>0</v>
      </c>
      <c r="E78" s="124">
        <f>IF(AND(($B$8-$B$7/2)+Assumptions!$B$67&gt;(E$8-E$7),($B$8-$B$7/2)+Assumptions!$B$67&lt;=E$8),$B$16,0)</f>
        <v>0</v>
      </c>
      <c r="F78" s="124">
        <f>IF(AND(($B$8-$B$7/2)+Assumptions!$B$67&gt;(F$8-F$7),($B$8-$B$7/2)+Assumptions!$B$67&lt;=F$8),$B$16,0)</f>
        <v>0</v>
      </c>
      <c r="G78" s="124">
        <f>IF(AND(($B$8-$B$7/2)+Assumptions!$B$67&gt;(G$8-G$7),($B$8-$B$7/2)+Assumptions!$B$67&lt;=G$8),$B$16,0)</f>
        <v>32852.7</v>
      </c>
      <c r="H78" s="124">
        <f>IF(AND(($B$8-$B$7/2)+Assumptions!$B$67&gt;(H$8-H$7),($B$8-$B$7/2)+Assumptions!$B$67&lt;=H$8),$B$16,0)</f>
        <v>0</v>
      </c>
      <c r="I78" s="124">
        <f>IF(AND(($B$8-$B$7/2)+Assumptions!$B$67&gt;(I$8-I$7),($B$8-$B$7/2)+Assumptions!$B$67&lt;=I$8),$B$16,0)</f>
        <v>0</v>
      </c>
      <c r="J78" s="124">
        <f>IF(AND(($B$8-$B$7/2)+Assumptions!$B$67&gt;(J$8-J$7),($B$8-$B$7/2)+Assumptions!$B$67&lt;=J$8),$B$16,0)</f>
        <v>0</v>
      </c>
      <c r="K78" s="124">
        <f>IF(AND(($B$8-$B$7/2)+Assumptions!$B$67&gt;(K$8-K$7),($B$8-$B$7/2)+Assumptions!$B$67&lt;=K$8),$B$16,0)</f>
        <v>0</v>
      </c>
      <c r="L78" s="124">
        <f>IF(AND(($B$8-$B$7/2)+Assumptions!$B$67&gt;(L$8-L$7),($B$8-$B$7/2)+Assumptions!$B$67&lt;=L$8),$B$16,0)</f>
        <v>0</v>
      </c>
    </row>
    <row r="79" ht="21.0" customHeight="1">
      <c r="A79" s="81" t="s">
        <v>583</v>
      </c>
      <c r="B79" s="124">
        <f t="shared" si="45"/>
        <v>0</v>
      </c>
      <c r="C79" s="124">
        <f t="shared" ref="C79:C88" si="46">0</f>
        <v>0</v>
      </c>
      <c r="D79" s="124">
        <f>IF(AND(($C$8-$C$7/2)+Assumptions!$C$67&gt;(D$8-D$7),($C$8-$C$7/2)+Assumptions!$C$67&lt;=D$8),$C$16,0)</f>
        <v>0</v>
      </c>
      <c r="E79" s="124">
        <f>IF(AND(($C$8-$C$7/2)+Assumptions!$C$67&gt;(E$8-E$7),($C$8-$C$7/2)+Assumptions!$C$67&lt;=E$8),$C$16,0)</f>
        <v>0</v>
      </c>
      <c r="F79" s="124">
        <f>IF(AND(($C$8-$C$7/2)+Assumptions!$C$67&gt;(F$8-F$7),($C$8-$C$7/2)+Assumptions!$C$67&lt;=F$8),$C$16,0)</f>
        <v>0</v>
      </c>
      <c r="G79" s="124">
        <f>IF(AND(($C$8-$C$7/2)+Assumptions!$C$67&gt;(G$8-G$7),($C$8-$C$7/2)+Assumptions!$C$67&lt;=G$8),$C$16,0)</f>
        <v>0</v>
      </c>
      <c r="H79" s="124">
        <f>IF(AND(($C$8-$C$7/2)+Assumptions!$C$67&gt;(H$8-H$7),($C$8-$C$7/2)+Assumptions!$C$67&lt;=H$8),$C$16,0)</f>
        <v>105720.6557</v>
      </c>
      <c r="I79" s="124">
        <f>IF(AND(($C$8-$C$7/2)+Assumptions!$C$67&gt;(I$8-I$7),($C$8-$C$7/2)+Assumptions!$C$67&lt;=I$8),$C$16,0)</f>
        <v>0</v>
      </c>
      <c r="J79" s="124">
        <f>IF(AND(($C$8-$C$7/2)+Assumptions!$C$67&gt;(J$8-J$7),($C$8-$C$7/2)+Assumptions!$C$67&lt;=J$8),$C$16,0)</f>
        <v>0</v>
      </c>
      <c r="K79" s="124">
        <f>IF(AND(($C$8-$C$7/2)+Assumptions!$C$67&gt;(K$8-K$7),($C$8-$C$7/2)+Assumptions!$C$67&lt;=K$8),$C$16,0)</f>
        <v>0</v>
      </c>
      <c r="L79" s="124">
        <f>IF(AND(($C$8-$C$7/2)+Assumptions!$C$67&gt;(L$8-L$7),($C$8-$C$7/2)+Assumptions!$C$67&lt;=L$8),$C$16,0)</f>
        <v>0</v>
      </c>
    </row>
    <row r="80" ht="21.0" customHeight="1">
      <c r="A80" s="81" t="s">
        <v>584</v>
      </c>
      <c r="B80" s="124">
        <f t="shared" si="45"/>
        <v>0</v>
      </c>
      <c r="C80" s="124">
        <f t="shared" si="46"/>
        <v>0</v>
      </c>
      <c r="D80" s="124">
        <f t="shared" ref="D80:D88" si="47">0</f>
        <v>0</v>
      </c>
      <c r="E80" s="124">
        <f>IF(AND(($D$8-$D$7/2)+Assumptions!$D$67&gt;(E$8-E$7),($D$8-$D$7/2)+Assumptions!$D$67&lt;=E$8),$D$16,0)</f>
        <v>0</v>
      </c>
      <c r="F80" s="124">
        <f>IF(AND(($D$8-$D$7/2)+Assumptions!$D$67&gt;(F$8-F$7),($D$8-$D$7/2)+Assumptions!$D$67&lt;=F$8),$D$16,0)</f>
        <v>0</v>
      </c>
      <c r="G80" s="124">
        <f>IF(AND(($D$8-$D$7/2)+Assumptions!$D$67&gt;(G$8-G$7),($D$8-$D$7/2)+Assumptions!$D$67&lt;=G$8),$D$16,0)</f>
        <v>0</v>
      </c>
      <c r="H80" s="124">
        <f>IF(AND(($D$8-$D$7/2)+Assumptions!$D$67&gt;(H$8-H$7),($D$8-$D$7/2)+Assumptions!$D$67&lt;=H$8),$D$16,0)</f>
        <v>0</v>
      </c>
      <c r="I80" s="124">
        <f>IF(AND(($D$8-$D$7/2)+Assumptions!$D$67&gt;(I$8-I$7),($D$8-$D$7/2)+Assumptions!$D$67&lt;=I$8),$D$16,0)</f>
        <v>118272.8918</v>
      </c>
      <c r="J80" s="124">
        <f>IF(AND(($D$8-$D$7/2)+Assumptions!$D$67&gt;(J$8-J$7),($D$8-$D$7/2)+Assumptions!$D$67&lt;=J$8),$D$16,0)</f>
        <v>0</v>
      </c>
      <c r="K80" s="124">
        <f>IF(AND(($D$8-$D$7/2)+Assumptions!$D$67&gt;(K$8-K$7),($D$8-$D$7/2)+Assumptions!$D$67&lt;=K$8),$D$16,0)</f>
        <v>0</v>
      </c>
      <c r="L80" s="124">
        <f>IF(AND(($D$8-$D$7/2)+Assumptions!$D$67&gt;(L$8-L$7),($D$8-$D$7/2)+Assumptions!$D$67&lt;=L$8),$D$16,0)</f>
        <v>0</v>
      </c>
    </row>
    <row r="81" ht="21.0" customHeight="1">
      <c r="A81" s="81" t="s">
        <v>585</v>
      </c>
      <c r="B81" s="124">
        <f t="shared" si="45"/>
        <v>0</v>
      </c>
      <c r="C81" s="124">
        <f t="shared" si="46"/>
        <v>0</v>
      </c>
      <c r="D81" s="124">
        <f t="shared" si="47"/>
        <v>0</v>
      </c>
      <c r="E81" s="124">
        <f t="shared" ref="E81:E88" si="48">0</f>
        <v>0</v>
      </c>
      <c r="F81" s="124">
        <f>IF(AND(($E$8-$E$7/2)+Assumptions!$E$67&gt;(F$8-F$7),($E$8-$E$7/2)+Assumptions!$E$67&lt;=F$8),$E$16,0)</f>
        <v>0</v>
      </c>
      <c r="G81" s="124">
        <f>IF(AND(($E$8-$E$7/2)+Assumptions!$E$67&gt;(G$8-G$7),($E$8-$E$7/2)+Assumptions!$E$67&lt;=G$8),$E$16,0)</f>
        <v>0</v>
      </c>
      <c r="H81" s="124">
        <f>IF(AND(($E$8-$E$7/2)+Assumptions!$E$67&gt;(H$8-H$7),($E$8-$E$7/2)+Assumptions!$E$67&lt;=H$8),$E$16,0)</f>
        <v>0</v>
      </c>
      <c r="I81" s="124">
        <f>IF(AND(($E$8-$E$7/2)+Assumptions!$E$67&gt;(I$8-I$7),($E$8-$E$7/2)+Assumptions!$E$67&lt;=I$8),$E$16,0)</f>
        <v>0</v>
      </c>
      <c r="J81" s="124">
        <f>IF(AND(($E$8-$E$7/2)+Assumptions!$E$67&gt;(J$8-J$7),($E$8-$E$7/2)+Assumptions!$E$67&lt;=J$8),$E$16,0)</f>
        <v>123465.4073</v>
      </c>
      <c r="K81" s="124">
        <f>IF(AND(($E$8-$E$7/2)+Assumptions!$E$67&gt;(K$8-K$7),($E$8-$E$7/2)+Assumptions!$E$67&lt;=K$8),$E$16,0)</f>
        <v>0</v>
      </c>
      <c r="L81" s="124">
        <f>IF(AND(($E$8-$E$7/2)+Assumptions!$E$67&gt;(L$8-L$7),($E$8-$E$7/2)+Assumptions!$E$67&lt;=L$8),$E$16,0)</f>
        <v>0</v>
      </c>
    </row>
    <row r="82" ht="21.0" customHeight="1">
      <c r="A82" s="81" t="s">
        <v>586</v>
      </c>
      <c r="B82" s="124">
        <f t="shared" si="45"/>
        <v>0</v>
      </c>
      <c r="C82" s="124">
        <f t="shared" si="46"/>
        <v>0</v>
      </c>
      <c r="D82" s="124">
        <f t="shared" si="47"/>
        <v>0</v>
      </c>
      <c r="E82" s="124">
        <f t="shared" si="48"/>
        <v>0</v>
      </c>
      <c r="F82" s="124">
        <f t="shared" ref="F82:F88" si="49">0</f>
        <v>0</v>
      </c>
      <c r="G82" s="124">
        <f>IF(AND(($F$8-$F$7/2)+Assumptions!$F$67&gt;(G$8-G$7),($F$8-$F$7/2)+Assumptions!$F$67&lt;=G$8),$F$16,0)</f>
        <v>0</v>
      </c>
      <c r="H82" s="124">
        <f>IF(AND(($F$8-$F$7/2)+Assumptions!$F$67&gt;(H$8-H$7),($F$8-$F$7/2)+Assumptions!$F$67&lt;=H$8),$F$16,0)</f>
        <v>0</v>
      </c>
      <c r="I82" s="124">
        <f>IF(AND(($F$8-$F$7/2)+Assumptions!$F$67&gt;(I$8-I$7),($F$8-$F$7/2)+Assumptions!$F$67&lt;=I$8),$F$16,0)</f>
        <v>0</v>
      </c>
      <c r="J82" s="124">
        <f>IF(AND(($F$8-$F$7/2)+Assumptions!$F$67&gt;(J$8-J$7),($F$8-$F$7/2)+Assumptions!$F$67&lt;=J$8),$F$16,0)</f>
        <v>0</v>
      </c>
      <c r="K82" s="124">
        <f>IF(AND(($F$8-$F$7/2)+Assumptions!$F$67&gt;(K$8-K$7),($F$8-$F$7/2)+Assumptions!$F$67&lt;=K$8),$F$16,0)</f>
        <v>125625.3693</v>
      </c>
      <c r="L82" s="124">
        <f>IF(AND(($F$8-$F$7/2)+Assumptions!$F$67&gt;(L$8-L$7),($F$8-$F$7/2)+Assumptions!$F$67&lt;=L$8),$F$16,0)</f>
        <v>0</v>
      </c>
    </row>
    <row r="83" ht="21.0" customHeight="1">
      <c r="A83" s="81" t="s">
        <v>587</v>
      </c>
      <c r="B83" s="124">
        <f t="shared" si="45"/>
        <v>0</v>
      </c>
      <c r="C83" s="124">
        <f t="shared" si="46"/>
        <v>0</v>
      </c>
      <c r="D83" s="124">
        <f t="shared" si="47"/>
        <v>0</v>
      </c>
      <c r="E83" s="124">
        <f t="shared" si="48"/>
        <v>0</v>
      </c>
      <c r="F83" s="124">
        <f t="shared" si="49"/>
        <v>0</v>
      </c>
      <c r="G83" s="124">
        <f t="shared" ref="G83:G88" si="50">0</f>
        <v>0</v>
      </c>
      <c r="H83" s="124">
        <f>IF(AND(($G$8-$G$7/2)+Assumptions!$G$67&gt;(H$8-H$7),($G$8-$G$7/2)+Assumptions!$G$67&lt;=H$8),$G$16,0)</f>
        <v>0</v>
      </c>
      <c r="I83" s="124">
        <f>IF(AND(($G$8-$G$7/2)+Assumptions!$G$67&gt;(I$8-I$7),($G$8-$G$7/2)+Assumptions!$G$67&lt;=I$8),$G$16,0)</f>
        <v>0</v>
      </c>
      <c r="J83" s="124">
        <f>IF(AND(($G$8-$G$7/2)+Assumptions!$G$67&gt;(J$8-J$7),($G$8-$G$7/2)+Assumptions!$G$67&lt;=J$8),$G$16,0)</f>
        <v>0</v>
      </c>
      <c r="K83" s="124">
        <f>IF(AND(($G$8-$G$7/2)+Assumptions!$G$67&gt;(K$8-K$7),($G$8-$G$7/2)+Assumptions!$G$67&lt;=K$8),$G$16,0)</f>
        <v>0</v>
      </c>
      <c r="L83" s="124">
        <f>IF(AND(($G$8-$G$7/2)+Assumptions!$G$67&gt;(L$8-L$7),($G$8-$G$7/2)+Assumptions!$G$67&lt;=L$8),$G$16,0)</f>
        <v>125904.5685</v>
      </c>
    </row>
    <row r="84" ht="21.0" customHeight="1">
      <c r="A84" s="81" t="s">
        <v>588</v>
      </c>
      <c r="B84" s="124">
        <f t="shared" si="45"/>
        <v>0</v>
      </c>
      <c r="C84" s="124">
        <f t="shared" si="46"/>
        <v>0</v>
      </c>
      <c r="D84" s="124">
        <f t="shared" si="47"/>
        <v>0</v>
      </c>
      <c r="E84" s="124">
        <f t="shared" si="48"/>
        <v>0</v>
      </c>
      <c r="F84" s="124">
        <f t="shared" si="49"/>
        <v>0</v>
      </c>
      <c r="G84" s="124">
        <f t="shared" si="50"/>
        <v>0</v>
      </c>
      <c r="H84" s="124">
        <f t="shared" ref="H84:H88" si="51">0</f>
        <v>0</v>
      </c>
      <c r="I84" s="124">
        <f>IF(AND(($H$8-$H$7/2)+Assumptions!$G$67&gt;(I$8-I$7),($H$8-$H$7/2)+Assumptions!$G$67&lt;=I$8),$H$16,0)</f>
        <v>0</v>
      </c>
      <c r="J84" s="124">
        <f>IF(AND(($H$8-$H$7/2)+Assumptions!$G$67&gt;(J$8-J$7),($H$8-$H$7/2)+Assumptions!$G$67&lt;=J$8),$H$16,0)</f>
        <v>0</v>
      </c>
      <c r="K84" s="124">
        <f>IF(AND(($H$8-$H$7/2)+Assumptions!$G$67&gt;(K$8-K$7),($H$8-$H$7/2)+Assumptions!$G$67&lt;=K$8),$H$16,0)</f>
        <v>0</v>
      </c>
      <c r="L84" s="124">
        <f>IF(AND(($H$8-$H$7/2)+Assumptions!$G$67&gt;(L$8-L$7),($H$8-$H$7/2)+Assumptions!$G$67&lt;=L$8),$H$16,0)</f>
        <v>0</v>
      </c>
    </row>
    <row r="85" ht="21.0" customHeight="1">
      <c r="A85" s="81" t="s">
        <v>589</v>
      </c>
      <c r="B85" s="124">
        <f t="shared" si="45"/>
        <v>0</v>
      </c>
      <c r="C85" s="124">
        <f t="shared" si="46"/>
        <v>0</v>
      </c>
      <c r="D85" s="124">
        <f t="shared" si="47"/>
        <v>0</v>
      </c>
      <c r="E85" s="124">
        <f t="shared" si="48"/>
        <v>0</v>
      </c>
      <c r="F85" s="124">
        <f t="shared" si="49"/>
        <v>0</v>
      </c>
      <c r="G85" s="124">
        <f t="shared" si="50"/>
        <v>0</v>
      </c>
      <c r="H85" s="124">
        <f t="shared" si="51"/>
        <v>0</v>
      </c>
      <c r="I85" s="124">
        <f t="shared" ref="I85:I88" si="52">0</f>
        <v>0</v>
      </c>
      <c r="J85" s="124">
        <f>IF(AND(($I$8-$I$7/2)+Assumptions!$G$67&gt;(J$8-J$7),($I$8-$I$7/2)+Assumptions!$G$67&lt;=J$8),$I$16,0)</f>
        <v>0</v>
      </c>
      <c r="K85" s="124">
        <f>IF(AND(($I$8-$I$7/2)+Assumptions!$G$67&gt;(K$8-K$7),($I$8-$I$7/2)+Assumptions!$G$67&lt;=K$8),$I$16,0)</f>
        <v>0</v>
      </c>
      <c r="L85" s="124">
        <f>IF(AND(($I$8-$I$7/2)+Assumptions!$G$67&gt;(L$8-L$7),($I$8-$I$7/2)+Assumptions!$G$67&lt;=L$8),$I$16,0)</f>
        <v>0</v>
      </c>
    </row>
    <row r="86" ht="21.0" customHeight="1">
      <c r="A86" s="81" t="s">
        <v>590</v>
      </c>
      <c r="B86" s="124">
        <f t="shared" si="45"/>
        <v>0</v>
      </c>
      <c r="C86" s="124">
        <f t="shared" si="46"/>
        <v>0</v>
      </c>
      <c r="D86" s="124">
        <f t="shared" si="47"/>
        <v>0</v>
      </c>
      <c r="E86" s="124">
        <f t="shared" si="48"/>
        <v>0</v>
      </c>
      <c r="F86" s="124">
        <f t="shared" si="49"/>
        <v>0</v>
      </c>
      <c r="G86" s="124">
        <f t="shared" si="50"/>
        <v>0</v>
      </c>
      <c r="H86" s="124">
        <f t="shared" si="51"/>
        <v>0</v>
      </c>
      <c r="I86" s="124">
        <f t="shared" si="52"/>
        <v>0</v>
      </c>
      <c r="J86" s="124">
        <f t="shared" ref="J86:J88" si="53">0</f>
        <v>0</v>
      </c>
      <c r="K86" s="124">
        <f>IF(AND(($J$8-$J$7/2)+Assumptions!$G$67&gt;(K$8-K$7),($J$8-$J$7/2)+Assumptions!$G$67&lt;=K$8),$J$16,0)</f>
        <v>0</v>
      </c>
      <c r="L86" s="124">
        <f>IF(AND(($J$8-$J$7/2)+Assumptions!$G$67&gt;(L$8-L$7),($J$8-$J$7/2)+Assumptions!$G$67&lt;=L$8),$J$16,0)</f>
        <v>0</v>
      </c>
    </row>
    <row r="87" ht="21.0" customHeight="1">
      <c r="A87" s="81" t="s">
        <v>591</v>
      </c>
      <c r="B87" s="124">
        <f t="shared" si="45"/>
        <v>0</v>
      </c>
      <c r="C87" s="124">
        <f t="shared" si="46"/>
        <v>0</v>
      </c>
      <c r="D87" s="124">
        <f t="shared" si="47"/>
        <v>0</v>
      </c>
      <c r="E87" s="124">
        <f t="shared" si="48"/>
        <v>0</v>
      </c>
      <c r="F87" s="124">
        <f t="shared" si="49"/>
        <v>0</v>
      </c>
      <c r="G87" s="124">
        <f t="shared" si="50"/>
        <v>0</v>
      </c>
      <c r="H87" s="124">
        <f t="shared" si="51"/>
        <v>0</v>
      </c>
      <c r="I87" s="124">
        <f t="shared" si="52"/>
        <v>0</v>
      </c>
      <c r="J87" s="124">
        <f t="shared" si="53"/>
        <v>0</v>
      </c>
      <c r="K87" s="124">
        <f t="shared" ref="K87:K88" si="54">0</f>
        <v>0</v>
      </c>
      <c r="L87" s="124">
        <f>IF(AND(($K$8-$K$7/2)+Assumptions!$G$67&gt;(L$8-L$7),($K$8-$K$7/2)+Assumptions!$G$67&lt;=L$8),$K$16,0)</f>
        <v>0</v>
      </c>
    </row>
    <row r="88" ht="21.0" customHeight="1">
      <c r="A88" s="81" t="s">
        <v>592</v>
      </c>
      <c r="B88" s="124">
        <f t="shared" si="45"/>
        <v>0</v>
      </c>
      <c r="C88" s="124">
        <f t="shared" si="46"/>
        <v>0</v>
      </c>
      <c r="D88" s="124">
        <f t="shared" si="47"/>
        <v>0</v>
      </c>
      <c r="E88" s="124">
        <f t="shared" si="48"/>
        <v>0</v>
      </c>
      <c r="F88" s="124">
        <f t="shared" si="49"/>
        <v>0</v>
      </c>
      <c r="G88" s="124">
        <f t="shared" si="50"/>
        <v>0</v>
      </c>
      <c r="H88" s="124">
        <f t="shared" si="51"/>
        <v>0</v>
      </c>
      <c r="I88" s="124">
        <f t="shared" si="52"/>
        <v>0</v>
      </c>
      <c r="J88" s="124">
        <f t="shared" si="53"/>
        <v>0</v>
      </c>
      <c r="K88" s="124">
        <f t="shared" si="54"/>
        <v>0</v>
      </c>
      <c r="L88" s="124">
        <f>0</f>
        <v>0</v>
      </c>
    </row>
    <row r="89" ht="21.0" customHeight="1">
      <c r="A89" s="83"/>
      <c r="B89" s="124"/>
      <c r="C89" s="124"/>
      <c r="D89" s="124"/>
      <c r="E89" s="124"/>
      <c r="F89" s="124"/>
      <c r="G89" s="124"/>
      <c r="H89" s="124"/>
      <c r="I89" s="124"/>
      <c r="J89" s="124"/>
      <c r="K89" s="124"/>
      <c r="L89" s="124"/>
    </row>
    <row r="90" ht="21.0" customHeight="1">
      <c r="A90" s="80" t="s">
        <v>593</v>
      </c>
      <c r="B90" s="148"/>
      <c r="C90" s="148"/>
      <c r="D90" s="148"/>
      <c r="E90" s="148"/>
      <c r="F90" s="148"/>
      <c r="G90" s="148"/>
      <c r="H90" s="148">
        <f>Transition!C9*(Transition!$B$50+(Transition!$B$48*Assumptions!$B$192-Transition!$B$50)*Transition!C7)</f>
        <v>794378.8282</v>
      </c>
      <c r="I90" s="148">
        <f>Transition!D9*(Transition!$B$50+(Transition!$B$48*Assumptions!$B$192-Transition!$B$50)*Transition!D7)</f>
        <v>844422.6801</v>
      </c>
      <c r="J90" s="148">
        <f>Transition!E9*(Transition!$B$50+(Transition!$B$48*Assumptions!$B$192-Transition!$B$50)*Transition!E7)</f>
        <v>887558.907</v>
      </c>
      <c r="K90" s="148">
        <f>Transition!F9*(Transition!$B$50+(Transition!$B$48*Assumptions!$B$192-Transition!$B$50)*Transition!F7)</f>
        <v>922324.6294</v>
      </c>
      <c r="L90" s="148">
        <f>Transition!G9*(Transition!$B$50+(Transition!$B$48*Assumptions!$B$192-Transition!$B$50)*Transition!G7)</f>
        <v>947463.9976</v>
      </c>
    </row>
    <row r="91" ht="21.0" customHeight="1">
      <c r="A91" s="81" t="s">
        <v>594</v>
      </c>
      <c r="B91" s="124"/>
      <c r="C91" s="124"/>
      <c r="D91" s="124"/>
      <c r="E91" s="124"/>
      <c r="F91" s="124"/>
      <c r="G91" s="124"/>
      <c r="H91" s="124">
        <f>SUM(H50:H55,H64:H69)</f>
        <v>130287.0994</v>
      </c>
      <c r="I91" s="124">
        <f>SUM(I50:I56,I64:I70)</f>
        <v>136830.2927</v>
      </c>
      <c r="J91" s="124">
        <f>SUM(J50:J57,J64:J71)</f>
        <v>141783.6</v>
      </c>
      <c r="K91" s="124">
        <f>SUM(K50:K58,K64:K72)</f>
        <v>145707.4611</v>
      </c>
      <c r="L91" s="124">
        <f>SUM(L50:L59,L64:L73)</f>
        <v>148718.019</v>
      </c>
    </row>
    <row r="92" ht="21.0" customHeight="1">
      <c r="A92" s="81" t="s">
        <v>595</v>
      </c>
      <c r="B92" s="152"/>
      <c r="C92" s="152"/>
      <c r="D92" s="152"/>
      <c r="E92" s="152"/>
      <c r="F92" s="152"/>
      <c r="G92" s="152"/>
      <c r="H92" s="152">
        <f>0.5*(Assumptions!$G$72/Assumptions!$G$67+(1-Assumptions!$G$72)/Assumptions!$B$92)</f>
        <v>0.07</v>
      </c>
      <c r="I92" s="152">
        <f>0.5*(Assumptions!$G$72/Assumptions!$G$67+(1-Assumptions!$G$72)/Assumptions!$B$92)</f>
        <v>0.07</v>
      </c>
      <c r="J92" s="152">
        <f>0.5*(Assumptions!$G$72/Assumptions!$G$67+(1-Assumptions!$G$72)/Assumptions!$B$92)</f>
        <v>0.07</v>
      </c>
      <c r="K92" s="152">
        <f>0.5*(Assumptions!$G$72/Assumptions!$G$67+(1-Assumptions!$G$72)/Assumptions!$B$92)</f>
        <v>0.07</v>
      </c>
      <c r="L92" s="152">
        <f>0.5*(Assumptions!$G$72/Assumptions!$G$67+(1-Assumptions!$G$72)/Assumptions!$B$92)</f>
        <v>0.07</v>
      </c>
    </row>
    <row r="93" ht="21.0" customHeight="1">
      <c r="A93" s="81" t="s">
        <v>596</v>
      </c>
      <c r="B93" s="124"/>
      <c r="C93" s="124"/>
      <c r="D93" s="124"/>
      <c r="E93" s="124"/>
      <c r="F93" s="124"/>
      <c r="G93" s="124"/>
      <c r="H93" s="124">
        <f t="shared" ref="H93:L93" si="55">SUM(H21:H22,H91)</f>
        <v>136900.3661</v>
      </c>
      <c r="I93" s="124">
        <f t="shared" si="55"/>
        <v>143443.5594</v>
      </c>
      <c r="J93" s="124">
        <f t="shared" si="55"/>
        <v>148396.8667</v>
      </c>
      <c r="K93" s="124">
        <f t="shared" si="55"/>
        <v>152320.7278</v>
      </c>
      <c r="L93" s="124">
        <f t="shared" si="55"/>
        <v>155331.2857</v>
      </c>
    </row>
    <row r="94" ht="21.0" customHeight="1">
      <c r="A94" s="81" t="s">
        <v>597</v>
      </c>
      <c r="B94" s="152"/>
      <c r="C94" s="152"/>
      <c r="D94" s="152"/>
      <c r="E94" s="152"/>
      <c r="F94" s="152"/>
      <c r="G94" s="152"/>
      <c r="H94" s="152">
        <f t="shared" ref="H94:L94" si="56">MAX(0,(H90-(H20-H13)+H93)/(1-H92))</f>
        <v>206732.4863</v>
      </c>
      <c r="I94" s="152">
        <f t="shared" si="56"/>
        <v>208050.9799</v>
      </c>
      <c r="J94" s="152">
        <f t="shared" si="56"/>
        <v>205949.563</v>
      </c>
      <c r="K94" s="152">
        <f t="shared" si="56"/>
        <v>201168.2261</v>
      </c>
      <c r="L94" s="152">
        <f t="shared" si="56"/>
        <v>194054.4665</v>
      </c>
    </row>
    <row r="95" ht="21.0" customHeight="1">
      <c r="A95" s="81" t="s">
        <v>598</v>
      </c>
      <c r="B95" s="124"/>
      <c r="C95" s="124"/>
      <c r="D95" s="124"/>
      <c r="E95" s="124"/>
      <c r="F95" s="124"/>
      <c r="G95" s="124"/>
      <c r="H95" s="124">
        <f>MAX(0,2*(H94/Assumptions!$G$62-H13),H94*(1/Assumptions!$G$62+0.5)-H13)</f>
        <v>202967.1134</v>
      </c>
      <c r="I95" s="124">
        <f>MAX(0,2*(I94/Assumptions!$G$62-I13),I94*(1/Assumptions!$G$62+0.5)-I13)</f>
        <v>211127.465</v>
      </c>
      <c r="J95" s="124">
        <f>MAX(0,2*(J94/Assumptions!$G$62-J13),J94*(1/Assumptions!$G$62+0.5)-J13)</f>
        <v>201959.6673</v>
      </c>
      <c r="K95" s="124">
        <f>MAX(0,2*(K94/Assumptions!$G$62-K13),K94*(1/Assumptions!$G$62+0.5)-K13)</f>
        <v>195589.9997</v>
      </c>
      <c r="L95" s="124">
        <f>MAX(0,2*(L94/Assumptions!$G$62-L13),L94*(1/Assumptions!$G$62+0.5)-L13)</f>
        <v>185755.0802</v>
      </c>
    </row>
    <row r="96" ht="21.0" customHeight="1">
      <c r="A96" s="81" t="s">
        <v>599</v>
      </c>
      <c r="B96" s="124">
        <f t="shared" ref="B96:L96" si="57">B34+B37-B32</f>
        <v>102021.7146</v>
      </c>
      <c r="C96" s="124">
        <f t="shared" si="57"/>
        <v>156008.1706</v>
      </c>
      <c r="D96" s="124">
        <f t="shared" si="57"/>
        <v>124719.3355</v>
      </c>
      <c r="E96" s="124">
        <f t="shared" si="57"/>
        <v>121513.2831</v>
      </c>
      <c r="F96" s="124">
        <f t="shared" si="57"/>
        <v>105440.2203</v>
      </c>
      <c r="G96" s="124">
        <f t="shared" si="57"/>
        <v>77297.47213</v>
      </c>
      <c r="H96" s="124">
        <f t="shared" si="57"/>
        <v>56215.11467</v>
      </c>
      <c r="I96" s="124">
        <f t="shared" si="57"/>
        <v>57334.71869</v>
      </c>
      <c r="J96" s="124">
        <f t="shared" si="57"/>
        <v>42823.32159</v>
      </c>
      <c r="K96" s="124">
        <f t="shared" si="57"/>
        <v>32203.93592</v>
      </c>
      <c r="L96" s="124">
        <f t="shared" si="57"/>
        <v>19088.26332</v>
      </c>
    </row>
    <row r="97" ht="21.0" customHeight="1">
      <c r="A97" s="81" t="s">
        <v>600</v>
      </c>
      <c r="B97" s="124"/>
      <c r="C97" s="124"/>
      <c r="D97" s="124"/>
      <c r="E97" s="124"/>
      <c r="F97" s="124"/>
      <c r="G97" s="124"/>
      <c r="H97" s="124">
        <f t="shared" ref="H97:L97" si="58">MAX(0,H90-H27)</f>
        <v>0</v>
      </c>
      <c r="I97" s="124">
        <f t="shared" si="58"/>
        <v>0.0000000001164153218</v>
      </c>
      <c r="J97" s="124">
        <f t="shared" si="58"/>
        <v>0</v>
      </c>
      <c r="K97" s="124">
        <f t="shared" si="58"/>
        <v>0</v>
      </c>
      <c r="L97" s="124">
        <f t="shared" si="58"/>
        <v>0</v>
      </c>
    </row>
    <row r="98" ht="21.0" customHeight="1">
      <c r="A98" s="81" t="s">
        <v>601</v>
      </c>
      <c r="B98" s="124"/>
      <c r="C98" s="124"/>
      <c r="D98" s="124"/>
      <c r="E98" s="124"/>
      <c r="F98" s="124"/>
      <c r="G98" s="124"/>
      <c r="H98" s="124">
        <f t="shared" ref="H98:L98" si="59">H24-(H93+H94*H92)</f>
        <v>0</v>
      </c>
      <c r="I98" s="124">
        <f t="shared" si="59"/>
        <v>0</v>
      </c>
      <c r="J98" s="124">
        <f t="shared" si="59"/>
        <v>0</v>
      </c>
      <c r="K98" s="124">
        <f t="shared" si="59"/>
        <v>0</v>
      </c>
      <c r="L98" s="124">
        <f t="shared" si="59"/>
        <v>0</v>
      </c>
    </row>
    <row r="99" ht="21.0" customHeight="1">
      <c r="A99" s="83"/>
      <c r="B99" s="83"/>
      <c r="C99" s="83"/>
      <c r="D99" s="83"/>
      <c r="E99" s="83"/>
      <c r="F99" s="83"/>
      <c r="G99" s="83"/>
      <c r="H99" s="83"/>
      <c r="I99" s="83"/>
      <c r="J99" s="83"/>
      <c r="K99" s="83"/>
      <c r="L99" s="83"/>
    </row>
    <row r="100" ht="21.0" customHeight="1">
      <c r="A100" s="83"/>
      <c r="B100" s="83"/>
      <c r="C100" s="83"/>
      <c r="D100" s="83"/>
      <c r="E100" s="83"/>
      <c r="F100" s="83"/>
      <c r="G100" s="83"/>
      <c r="H100" s="83"/>
      <c r="I100" s="83"/>
      <c r="J100" s="83"/>
      <c r="K100" s="83"/>
      <c r="L100" s="83"/>
    </row>
    <row r="101" ht="26.25" customHeight="1">
      <c r="A101" s="81" t="s">
        <v>602</v>
      </c>
    </row>
    <row r="102" ht="26.25" customHeight="1">
      <c r="A102" s="81" t="s">
        <v>603</v>
      </c>
    </row>
    <row r="103" ht="26.25" customHeight="1">
      <c r="A103" s="81" t="s">
        <v>604</v>
      </c>
    </row>
    <row r="104" ht="26.25" customHeight="1">
      <c r="A104" s="81" t="s">
        <v>605</v>
      </c>
    </row>
    <row r="105" ht="26.25" customHeight="1">
      <c r="A105" s="81" t="s">
        <v>606</v>
      </c>
    </row>
    <row r="107">
      <c r="A107" s="61" t="s">
        <v>607</v>
      </c>
      <c r="B107" s="25"/>
      <c r="C107" s="25"/>
      <c r="D107" s="25"/>
      <c r="E107" s="25"/>
      <c r="F107" s="25"/>
      <c r="G107" s="25"/>
      <c r="H107" s="25"/>
      <c r="I107" s="25"/>
      <c r="J107" s="25"/>
      <c r="K107" s="25"/>
      <c r="L107" s="25"/>
    </row>
    <row r="108">
      <c r="A108" s="35" t="s">
        <v>608</v>
      </c>
      <c r="B108" s="4">
        <f>SUM('Sources and basis'!E47:I47)+'Sources and basis'!B56</f>
        <v>8894</v>
      </c>
      <c r="C108" s="4">
        <f t="shared" ref="C108:L108" si="60">B110</f>
        <v>8147</v>
      </c>
      <c r="D108" s="4">
        <f t="shared" si="60"/>
        <v>6843</v>
      </c>
      <c r="E108" s="4">
        <f t="shared" si="60"/>
        <v>5701</v>
      </c>
      <c r="F108" s="4">
        <f t="shared" si="60"/>
        <v>4605</v>
      </c>
      <c r="G108" s="4">
        <f t="shared" si="60"/>
        <v>3550</v>
      </c>
      <c r="H108" s="4">
        <f t="shared" si="60"/>
        <v>2495</v>
      </c>
      <c r="I108" s="4">
        <f t="shared" si="60"/>
        <v>1996</v>
      </c>
      <c r="J108" s="4">
        <f t="shared" si="60"/>
        <v>1497</v>
      </c>
      <c r="K108" s="4">
        <f t="shared" si="60"/>
        <v>998</v>
      </c>
      <c r="L108" s="4">
        <f t="shared" si="60"/>
        <v>499</v>
      </c>
    </row>
    <row r="109">
      <c r="A109" s="35" t="s">
        <v>609</v>
      </c>
      <c r="B109" s="4">
        <f t="shared" ref="B109:L109" si="61">B25</f>
        <v>747</v>
      </c>
      <c r="C109" s="4">
        <f t="shared" si="61"/>
        <v>1304</v>
      </c>
      <c r="D109" s="4">
        <f t="shared" si="61"/>
        <v>1142</v>
      </c>
      <c r="E109" s="4">
        <f t="shared" si="61"/>
        <v>1096</v>
      </c>
      <c r="F109" s="4">
        <f t="shared" si="61"/>
        <v>1055</v>
      </c>
      <c r="G109" s="4">
        <f t="shared" si="61"/>
        <v>1055</v>
      </c>
      <c r="H109" s="4">
        <f t="shared" si="61"/>
        <v>499</v>
      </c>
      <c r="I109" s="4">
        <f t="shared" si="61"/>
        <v>499</v>
      </c>
      <c r="J109" s="4">
        <f t="shared" si="61"/>
        <v>499</v>
      </c>
      <c r="K109" s="4">
        <f t="shared" si="61"/>
        <v>499</v>
      </c>
      <c r="L109" s="4">
        <f t="shared" si="61"/>
        <v>499</v>
      </c>
    </row>
    <row r="110">
      <c r="A110" s="35" t="s">
        <v>610</v>
      </c>
      <c r="B110" s="4">
        <f t="shared" ref="B110:L110" si="62">MAX(0,B108-B109)</f>
        <v>8147</v>
      </c>
      <c r="C110" s="4">
        <f t="shared" si="62"/>
        <v>6843</v>
      </c>
      <c r="D110" s="4">
        <f t="shared" si="62"/>
        <v>5701</v>
      </c>
      <c r="E110" s="4">
        <f t="shared" si="62"/>
        <v>4605</v>
      </c>
      <c r="F110" s="4">
        <f t="shared" si="62"/>
        <v>3550</v>
      </c>
      <c r="G110" s="4">
        <f t="shared" si="62"/>
        <v>2495</v>
      </c>
      <c r="H110" s="4">
        <f t="shared" si="62"/>
        <v>1996</v>
      </c>
      <c r="I110" s="4">
        <f t="shared" si="62"/>
        <v>1497</v>
      </c>
      <c r="J110" s="4">
        <f t="shared" si="62"/>
        <v>998</v>
      </c>
      <c r="K110" s="4">
        <f t="shared" si="62"/>
        <v>499</v>
      </c>
      <c r="L110" s="4">
        <f t="shared" si="62"/>
        <v>0</v>
      </c>
    </row>
    <row r="111">
      <c r="A111" s="35" t="s">
        <v>611</v>
      </c>
      <c r="B111" s="4">
        <f>'Balance sheet'!$I$22-$B$108</f>
        <v>211</v>
      </c>
      <c r="C111" s="4">
        <f>'Balance sheet'!$I$22-$B$108</f>
        <v>211</v>
      </c>
      <c r="D111" s="4">
        <f>'Balance sheet'!$I$22-$B$108</f>
        <v>211</v>
      </c>
      <c r="E111" s="4">
        <f>'Balance sheet'!$I$22-$B$108</f>
        <v>211</v>
      </c>
      <c r="F111" s="4">
        <f>'Balance sheet'!$I$22-$B$108</f>
        <v>211</v>
      </c>
      <c r="G111" s="4">
        <f>'Balance sheet'!$I$22-$B$108</f>
        <v>211</v>
      </c>
      <c r="H111" s="4">
        <f>'Balance sheet'!$I$22-$B$108</f>
        <v>211</v>
      </c>
      <c r="I111" s="4">
        <f>'Balance sheet'!$I$22-$B$108</f>
        <v>211</v>
      </c>
      <c r="J111" s="4">
        <f>'Balance sheet'!$I$22-$B$108</f>
        <v>211</v>
      </c>
      <c r="K111" s="4">
        <f>'Balance sheet'!$I$22-$B$108</f>
        <v>211</v>
      </c>
      <c r="L111" s="4">
        <f>'Balance sheet'!$I$22-$B$108</f>
        <v>211</v>
      </c>
    </row>
    <row r="112">
      <c r="A112" s="35" t="s">
        <v>612</v>
      </c>
      <c r="B112" s="4">
        <f t="shared" ref="B112:L112" si="63">SUM(B110:B111)</f>
        <v>8358</v>
      </c>
      <c r="C112" s="4">
        <f t="shared" si="63"/>
        <v>7054</v>
      </c>
      <c r="D112" s="4">
        <f t="shared" si="63"/>
        <v>5912</v>
      </c>
      <c r="E112" s="4">
        <f t="shared" si="63"/>
        <v>4816</v>
      </c>
      <c r="F112" s="4">
        <f t="shared" si="63"/>
        <v>3761</v>
      </c>
      <c r="G112" s="4">
        <f t="shared" si="63"/>
        <v>2706</v>
      </c>
      <c r="H112" s="4">
        <f t="shared" si="63"/>
        <v>2207</v>
      </c>
      <c r="I112" s="4">
        <f t="shared" si="63"/>
        <v>1708</v>
      </c>
      <c r="J112" s="4">
        <f t="shared" si="63"/>
        <v>1209</v>
      </c>
      <c r="K112" s="4">
        <f t="shared" si="63"/>
        <v>710</v>
      </c>
      <c r="L112" s="4">
        <f t="shared" si="63"/>
        <v>211</v>
      </c>
    </row>
    <row r="113">
      <c r="A113" s="3"/>
      <c r="B113" s="4"/>
      <c r="C113" s="4"/>
      <c r="D113" s="4"/>
      <c r="E113" s="4"/>
      <c r="F113" s="4"/>
      <c r="G113" s="4"/>
      <c r="H113" s="4"/>
      <c r="I113" s="4"/>
      <c r="J113" s="4"/>
      <c r="K113" s="4"/>
      <c r="L113" s="4"/>
    </row>
    <row r="114">
      <c r="A114" s="35" t="s">
        <v>613</v>
      </c>
      <c r="B114" s="4">
        <f>'Balance sheet'!$I$21</f>
        <v>57828</v>
      </c>
      <c r="C114" s="4">
        <f>'Balance sheet'!$I$21</f>
        <v>57828</v>
      </c>
      <c r="D114" s="4">
        <f>'Balance sheet'!$I$21</f>
        <v>57828</v>
      </c>
      <c r="E114" s="4">
        <f>'Balance sheet'!$I$21</f>
        <v>57828</v>
      </c>
      <c r="F114" s="4">
        <f>'Balance sheet'!$I$21</f>
        <v>57828</v>
      </c>
      <c r="G114" s="4">
        <f>'Balance sheet'!$I$21</f>
        <v>57828</v>
      </c>
      <c r="H114" s="4">
        <f>'Balance sheet'!$I$21</f>
        <v>57828</v>
      </c>
      <c r="I114" s="4">
        <f>'Balance sheet'!$I$21</f>
        <v>57828</v>
      </c>
      <c r="J114" s="4">
        <f>'Balance sheet'!$I$21</f>
        <v>57828</v>
      </c>
      <c r="K114" s="4">
        <f>'Balance sheet'!$I$21</f>
        <v>57828</v>
      </c>
      <c r="L114" s="4">
        <f>'Balance sheet'!$I$21</f>
        <v>57828</v>
      </c>
    </row>
    <row r="115">
      <c r="A115" s="3"/>
      <c r="B115" s="4"/>
      <c r="C115" s="4"/>
      <c r="D115" s="4"/>
      <c r="E115" s="4"/>
      <c r="F115" s="4"/>
      <c r="G115" s="4"/>
      <c r="H115" s="4"/>
      <c r="I115" s="4"/>
      <c r="J115" s="4"/>
      <c r="K115" s="4"/>
      <c r="L115" s="4"/>
    </row>
    <row r="116">
      <c r="A116" s="35" t="s">
        <v>614</v>
      </c>
      <c r="B116" s="4">
        <f>SUM(G25:L25)-'Sources and basis'!B56</f>
        <v>0</v>
      </c>
      <c r="C116" s="4"/>
      <c r="D116" s="4"/>
      <c r="E116" s="4"/>
      <c r="F116" s="4"/>
      <c r="G116" s="4"/>
      <c r="H116" s="4"/>
      <c r="I116" s="4"/>
      <c r="J116" s="4"/>
      <c r="K116" s="4"/>
      <c r="L116" s="4"/>
    </row>
    <row r="117">
      <c r="A117" s="35" t="s">
        <v>615</v>
      </c>
      <c r="B117" s="4">
        <f>B108+B111-'Balance sheet'!I22</f>
        <v>0</v>
      </c>
      <c r="C117" s="4"/>
      <c r="D117" s="4"/>
      <c r="E117" s="4"/>
      <c r="F117" s="4"/>
      <c r="G117" s="4"/>
      <c r="H117" s="4"/>
      <c r="I117" s="4"/>
      <c r="J117" s="4"/>
      <c r="K117" s="4"/>
      <c r="L117" s="4"/>
    </row>
    <row r="119" ht="31.5" customHeight="1">
      <c r="A119" s="153" t="s">
        <v>616</v>
      </c>
    </row>
    <row r="120" ht="31.5" customHeight="1">
      <c r="A120" s="153" t="s">
        <v>617</v>
      </c>
    </row>
  </sheetData>
  <mergeCells count="9">
    <mergeCell ref="A119:L119"/>
    <mergeCell ref="A120:L120"/>
    <mergeCell ref="A1:G1"/>
    <mergeCell ref="A2:G2"/>
    <mergeCell ref="A101:L101"/>
    <mergeCell ref="A102:L102"/>
    <mergeCell ref="A103:L103"/>
    <mergeCell ref="A104:L104"/>
    <mergeCell ref="A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s>
  <sheetData>
    <row r="1" ht="25.5" customHeight="1">
      <c r="A1" s="131" t="s">
        <v>618</v>
      </c>
    </row>
    <row r="2" ht="34.5" customHeight="1">
      <c r="A2" s="7" t="s">
        <v>619</v>
      </c>
    </row>
    <row r="3" ht="20.25" customHeight="1">
      <c r="A3" s="3" t="s">
        <v>263</v>
      </c>
      <c r="B3" s="3" t="str">
        <f>Assumptions!B3</f>
        <v>Base</v>
      </c>
      <c r="C3" s="3"/>
      <c r="D3" s="3"/>
      <c r="E3" s="3"/>
      <c r="F3" s="3"/>
      <c r="G3" s="3"/>
      <c r="H3" s="3"/>
    </row>
    <row r="4" ht="20.25" customHeight="1">
      <c r="A4" s="3"/>
      <c r="B4" s="3"/>
      <c r="C4" s="3"/>
      <c r="D4" s="3"/>
      <c r="E4" s="3"/>
      <c r="F4" s="3"/>
      <c r="G4" s="3"/>
      <c r="H4" s="3"/>
    </row>
    <row r="5" ht="20.25" customHeight="1">
      <c r="A5" s="3"/>
      <c r="B5" s="3"/>
      <c r="C5" s="3"/>
      <c r="D5" s="3"/>
      <c r="E5" s="3"/>
      <c r="F5" s="3"/>
      <c r="G5" s="3"/>
      <c r="H5" s="3"/>
    </row>
    <row r="6" ht="27.0" customHeight="1">
      <c r="A6" s="6" t="s">
        <v>620</v>
      </c>
      <c r="B6" s="6" t="s">
        <v>621</v>
      </c>
      <c r="C6" s="6" t="s">
        <v>349</v>
      </c>
      <c r="D6" s="6" t="s">
        <v>350</v>
      </c>
      <c r="E6" s="6" t="s">
        <v>351</v>
      </c>
      <c r="F6" s="6" t="s">
        <v>352</v>
      </c>
      <c r="G6" s="6" t="s">
        <v>353</v>
      </c>
      <c r="H6" s="6" t="s">
        <v>622</v>
      </c>
    </row>
    <row r="7" ht="20.25" customHeight="1">
      <c r="A7" s="3" t="s">
        <v>623</v>
      </c>
      <c r="B7" s="139">
        <f>0</f>
        <v>0</v>
      </c>
      <c r="C7" s="139">
        <f>MIN(1,(2-1)/Assumptions!$B$147)</f>
        <v>0.2</v>
      </c>
      <c r="D7" s="139">
        <f>MIN(1,(3-1)/Assumptions!$B$147)</f>
        <v>0.4</v>
      </c>
      <c r="E7" s="139">
        <f>MIN(1,(4-1)/Assumptions!$B$147)</f>
        <v>0.6</v>
      </c>
      <c r="F7" s="139">
        <f>MIN(1,(5-1)/Assumptions!$B$147)</f>
        <v>0.8</v>
      </c>
      <c r="G7" s="139">
        <f>MIN(1,(6-1)/Assumptions!$B$147)</f>
        <v>1</v>
      </c>
      <c r="H7" s="139">
        <f>1</f>
        <v>1</v>
      </c>
    </row>
    <row r="8" ht="20.25" customHeight="1">
      <c r="A8" s="3" t="s">
        <v>624</v>
      </c>
      <c r="B8" s="139">
        <f>'Operating forecast'!K16/'Operating forecast'!J16-1</f>
        <v>0.08968970499</v>
      </c>
      <c r="C8" s="139">
        <f t="shared" ref="C8:H8" si="1">$B$8+($B$24-$B$8)*C7</f>
        <v>0.07775176399</v>
      </c>
      <c r="D8" s="139">
        <f t="shared" si="1"/>
        <v>0.06581382299</v>
      </c>
      <c r="E8" s="139">
        <f t="shared" si="1"/>
        <v>0.053875882</v>
      </c>
      <c r="F8" s="139">
        <f t="shared" si="1"/>
        <v>0.041937941</v>
      </c>
      <c r="G8" s="139">
        <f t="shared" si="1"/>
        <v>0.03</v>
      </c>
      <c r="H8" s="139">
        <f t="shared" si="1"/>
        <v>0.03</v>
      </c>
    </row>
    <row r="9" ht="20.25" customHeight="1">
      <c r="A9" s="3" t="s">
        <v>625</v>
      </c>
      <c r="B9" s="135">
        <f>'Operating forecast'!K16</f>
        <v>950091.0513</v>
      </c>
      <c r="C9" s="135">
        <f t="shared" ref="C9:H9" si="2">B9*(1+C8)</f>
        <v>1023962.307</v>
      </c>
      <c r="D9" s="135">
        <f t="shared" si="2"/>
        <v>1091353.181</v>
      </c>
      <c r="E9" s="135">
        <f t="shared" si="2"/>
        <v>1150150.796</v>
      </c>
      <c r="F9" s="135">
        <f t="shared" si="2"/>
        <v>1198385.752</v>
      </c>
      <c r="G9" s="135">
        <f t="shared" si="2"/>
        <v>1234337.324</v>
      </c>
      <c r="H9" s="135">
        <f t="shared" si="2"/>
        <v>1271367.444</v>
      </c>
    </row>
    <row r="10" ht="20.25" customHeight="1">
      <c r="A10" s="3" t="s">
        <v>626</v>
      </c>
      <c r="B10" s="139">
        <f>'Operating forecast'!K34</f>
        <v>0.2843927873</v>
      </c>
      <c r="C10" s="139">
        <f>$B$55-'Capital and FCFF'!H24/C9-C56/C9+IF(ISNUMBER(Assumptions!$B$148),(Assumptions!$B$148-($B$55-'Capital and FCFF'!$L$24/$G$9))*C7,0)</f>
        <v>0.282132126</v>
      </c>
      <c r="D10" s="139">
        <f>$B$55-'Capital and FCFF'!I24/D9-D56/D9+IF(ISNUMBER(Assumptions!$B$148),(Assumptions!$B$148-($B$55-'Capital and FCFF'!$L$24/$G$9))*D7,0)</f>
        <v>0.2852105974</v>
      </c>
      <c r="E10" s="139">
        <f>$B$55-'Capital and FCFF'!J24/E9-E56/E9+IF(ISNUMBER(Assumptions!$B$148),(Assumptions!$B$148-($B$55-'Capital and FCFF'!$L$24/$G$9))*E7,0)</f>
        <v>0.2884566494</v>
      </c>
      <c r="F10" s="139">
        <f>$B$55-'Capital and FCFF'!K24/F9-F56/F9+IF(ISNUMBER(Assumptions!$B$148),(Assumptions!$B$148-($B$55-'Capital and FCFF'!$L$24/$G$9))*F7,0)</f>
        <v>0.2911768216</v>
      </c>
      <c r="G10" s="139">
        <f>$B$55-'Capital and FCFF'!L24/G9-G56/G9+IF(ISNUMBER(Assumptions!$B$148),(Assumptions!$B$148-($B$55-'Capital and FCFF'!$L$24/$G$9))*G7,0)</f>
        <v>0.2931977038</v>
      </c>
      <c r="H10" s="139">
        <f>G10+G56/G9</f>
        <v>0.2936019693</v>
      </c>
    </row>
    <row r="11" ht="20.25" customHeight="1">
      <c r="A11" s="3" t="s">
        <v>627</v>
      </c>
      <c r="B11" s="135">
        <f>'Operating forecast'!K33</f>
        <v>270199.0423</v>
      </c>
      <c r="C11" s="135">
        <f t="shared" ref="C11:H11" si="3">C9*C10</f>
        <v>288892.6625</v>
      </c>
      <c r="D11" s="135">
        <f t="shared" si="3"/>
        <v>311265.4925</v>
      </c>
      <c r="E11" s="135">
        <f t="shared" si="3"/>
        <v>331768.6449</v>
      </c>
      <c r="F11" s="135">
        <f t="shared" si="3"/>
        <v>348942.1543</v>
      </c>
      <c r="G11" s="135">
        <f t="shared" si="3"/>
        <v>361904.8693</v>
      </c>
      <c r="H11" s="135">
        <f t="shared" si="3"/>
        <v>373275.9854</v>
      </c>
    </row>
    <row r="12" ht="20.25" customHeight="1">
      <c r="A12" s="3" t="s">
        <v>628</v>
      </c>
      <c r="B12" s="139">
        <f>Assumptions!G77</f>
        <v>0.18</v>
      </c>
      <c r="C12" s="139">
        <f>$B$12+(Assumptions!$B$149-$B$12)*C7</f>
        <v>0.186</v>
      </c>
      <c r="D12" s="139">
        <f>$B$12+(Assumptions!$B$149-$B$12)*D7</f>
        <v>0.192</v>
      </c>
      <c r="E12" s="139">
        <f>$B$12+(Assumptions!$B$149-$B$12)*E7</f>
        <v>0.198</v>
      </c>
      <c r="F12" s="139">
        <f>$B$12+(Assumptions!$B$149-$B$12)*F7</f>
        <v>0.204</v>
      </c>
      <c r="G12" s="139">
        <f>$B$12+(Assumptions!$B$149-$B$12)*G7</f>
        <v>0.21</v>
      </c>
      <c r="H12" s="139">
        <f>$B$12+(Assumptions!$B$149-$B$12)*H7</f>
        <v>0.21</v>
      </c>
    </row>
    <row r="13" ht="20.25" customHeight="1">
      <c r="A13" s="22" t="s">
        <v>375</v>
      </c>
      <c r="B13" s="137">
        <f>'Operating forecast'!K36</f>
        <v>221373.3146</v>
      </c>
      <c r="C13" s="137">
        <f t="shared" ref="C13:H13" si="4">C57-C56+C58</f>
        <v>235065.8132</v>
      </c>
      <c r="D13" s="137">
        <f t="shared" si="4"/>
        <v>251406.71</v>
      </c>
      <c r="E13" s="137">
        <f t="shared" si="4"/>
        <v>265979.6512</v>
      </c>
      <c r="F13" s="137">
        <f t="shared" si="4"/>
        <v>277656.1588</v>
      </c>
      <c r="G13" s="137">
        <f t="shared" si="4"/>
        <v>285800.0567</v>
      </c>
      <c r="H13" s="137">
        <f t="shared" si="4"/>
        <v>294888.0285</v>
      </c>
    </row>
    <row r="14" ht="20.25" customHeight="1">
      <c r="A14" s="35" t="s">
        <v>629</v>
      </c>
      <c r="B14" s="139">
        <f>B15/B57</f>
        <v>0.3475163324</v>
      </c>
      <c r="C14" s="139">
        <f t="shared" ref="C14:G14" si="5">IF(ISNUMBER(C15),C15/C57,"")</f>
        <v>0.2386396928</v>
      </c>
      <c r="D14" s="139">
        <f t="shared" si="5"/>
        <v>0.2276038868</v>
      </c>
      <c r="E14" s="139">
        <f t="shared" si="5"/>
        <v>0.1607007594</v>
      </c>
      <c r="F14" s="139">
        <f t="shared" si="5"/>
        <v>0.1157768781</v>
      </c>
      <c r="G14" s="139">
        <f t="shared" si="5"/>
        <v>0.06667246319</v>
      </c>
      <c r="H14" s="139">
        <f>$B$26</f>
        <v>0.1310921403</v>
      </c>
    </row>
    <row r="15" ht="20.25" customHeight="1">
      <c r="A15" s="35" t="s">
        <v>599</v>
      </c>
      <c r="B15" s="135">
        <f>'Capital and FCFF'!G96</f>
        <v>77297.47213</v>
      </c>
      <c r="C15" s="135">
        <f>'Capital and FCFF'!H96</f>
        <v>56215.11467</v>
      </c>
      <c r="D15" s="135">
        <f>'Capital and FCFF'!I96</f>
        <v>57334.71869</v>
      </c>
      <c r="E15" s="135">
        <f>'Capital and FCFF'!J96</f>
        <v>42823.32159</v>
      </c>
      <c r="F15" s="135">
        <f>'Capital and FCFF'!K96</f>
        <v>32203.93592</v>
      </c>
      <c r="G15" s="135">
        <f>'Capital and FCFF'!L96</f>
        <v>19088.26332</v>
      </c>
      <c r="H15" s="135">
        <f>H13*H14</f>
        <v>38657.5028</v>
      </c>
    </row>
    <row r="16" ht="20.25" customHeight="1">
      <c r="A16" s="22" t="s">
        <v>630</v>
      </c>
      <c r="B16" s="137">
        <f t="shared" ref="B16:H16" si="6">B13+B56-B15</f>
        <v>145130.8425</v>
      </c>
      <c r="C16" s="137">
        <f t="shared" si="6"/>
        <v>179349.6986</v>
      </c>
      <c r="D16" s="137">
        <f t="shared" si="6"/>
        <v>194570.9913</v>
      </c>
      <c r="E16" s="137">
        <f t="shared" si="6"/>
        <v>223655.3296</v>
      </c>
      <c r="F16" s="137">
        <f t="shared" si="6"/>
        <v>245951.2229</v>
      </c>
      <c r="G16" s="137">
        <f t="shared" si="6"/>
        <v>267210.7934</v>
      </c>
      <c r="H16" s="137">
        <f t="shared" si="6"/>
        <v>256230.5257</v>
      </c>
    </row>
    <row r="17" ht="20.25" customHeight="1">
      <c r="A17" s="3"/>
      <c r="B17" s="135"/>
      <c r="C17" s="135"/>
      <c r="D17" s="135"/>
      <c r="E17" s="135"/>
      <c r="F17" s="135"/>
      <c r="G17" s="135"/>
      <c r="H17" s="135"/>
    </row>
    <row r="18" ht="20.25" customHeight="1">
      <c r="A18" s="3" t="s">
        <v>55</v>
      </c>
      <c r="B18" s="154">
        <f>DATE(2031,12,31)</f>
        <v>48213</v>
      </c>
      <c r="C18" s="154">
        <f>DATE(2032,12,31)</f>
        <v>48579</v>
      </c>
      <c r="D18" s="154">
        <f>DATE(2033,12,31)</f>
        <v>48944</v>
      </c>
      <c r="E18" s="154">
        <f>DATE(2034,12,31)</f>
        <v>49309</v>
      </c>
      <c r="F18" s="154">
        <f>DATE(2035,12,31)</f>
        <v>49674</v>
      </c>
      <c r="G18" s="154">
        <f>DATE(2036,12,31)</f>
        <v>50040</v>
      </c>
      <c r="H18" s="154">
        <f>DATE(2037,12,31)</f>
        <v>50405</v>
      </c>
    </row>
    <row r="19" ht="20.25" customHeight="1">
      <c r="A19" s="3" t="s">
        <v>56</v>
      </c>
      <c r="B19" s="155">
        <f>YEARFRAC(Valuation!$B$4,B18,3)-IF(Valuation!$B$24=1,0.5,0)</f>
        <v>4.68630137</v>
      </c>
      <c r="C19" s="155">
        <f>YEARFRAC(Valuation!$B$4,C18,3)-IF(Valuation!$B$24=1,0.5,0)</f>
        <v>5.689041096</v>
      </c>
      <c r="D19" s="155">
        <f>YEARFRAC(Valuation!$B$4,D18,3)-IF(Valuation!$B$24=1,0.5,0)</f>
        <v>6.689041096</v>
      </c>
      <c r="E19" s="155">
        <f>YEARFRAC(Valuation!$B$4,E18,3)-IF(Valuation!$B$24=1,0.5,0)</f>
        <v>7.689041096</v>
      </c>
      <c r="F19" s="155">
        <f>YEARFRAC(Valuation!$B$4,F18,3)-IF(Valuation!$B$24=1,0.5,0)</f>
        <v>8.689041096</v>
      </c>
      <c r="G19" s="155">
        <f>YEARFRAC(Valuation!$B$4,G18,3)-IF(Valuation!$B$24=1,0.5,0)</f>
        <v>9.691780822</v>
      </c>
      <c r="H19" s="155">
        <f>YEARFRAC(Valuation!$B$4,H18,3)-IF(Valuation!$B$24=1,0.5,0)</f>
        <v>10.69178082</v>
      </c>
    </row>
    <row r="20" ht="20.25" customHeight="1">
      <c r="A20" s="22" t="s">
        <v>631</v>
      </c>
      <c r="B20" s="137"/>
      <c r="C20" s="137">
        <f>IF(AND(ISNUMBER(Valuation!$B$29),Valuation!$B$29&gt;0),C16/(1+Valuation!$B$29)^C19,"")</f>
        <v>107674.309</v>
      </c>
      <c r="D20" s="137">
        <f>IF(AND(ISNUMBER(Valuation!$B$29),Valuation!$B$29&gt;0),D16/(1+Valuation!$B$29)^D19,"")</f>
        <v>106792.1825</v>
      </c>
      <c r="E20" s="137">
        <f>IF(AND(ISNUMBER(Valuation!$B$29),Valuation!$B$29&gt;0),E16/(1+Valuation!$B$29)^E19,"")</f>
        <v>112225.242</v>
      </c>
      <c r="F20" s="137">
        <f>IF(AND(ISNUMBER(Valuation!$B$29),Valuation!$B$29&gt;0),F16/(1+Valuation!$B$29)^F19,"")</f>
        <v>112826.2656</v>
      </c>
      <c r="G20" s="137">
        <f>IF(AND(ISNUMBER(Valuation!$B$29),Valuation!$B$29&gt;0),G16/(1+Valuation!$B$29)^G19,"")</f>
        <v>112036.218</v>
      </c>
      <c r="H20" s="137"/>
    </row>
    <row r="21" ht="20.25" customHeight="1">
      <c r="A21" s="3"/>
      <c r="B21" s="135"/>
      <c r="C21" s="135"/>
      <c r="D21" s="135"/>
      <c r="E21" s="135"/>
      <c r="F21" s="135"/>
      <c r="G21" s="135"/>
      <c r="H21" s="135"/>
    </row>
    <row r="22" ht="20.25" customHeight="1">
      <c r="A22" s="3"/>
      <c r="B22" s="135"/>
      <c r="C22" s="135"/>
      <c r="D22" s="135"/>
      <c r="E22" s="135"/>
      <c r="F22" s="135"/>
      <c r="G22" s="135"/>
      <c r="H22" s="135"/>
    </row>
    <row r="23" ht="20.25" customHeight="1">
      <c r="A23" s="133" t="s">
        <v>632</v>
      </c>
      <c r="B23" s="134"/>
      <c r="C23" s="134"/>
      <c r="D23" s="134"/>
      <c r="E23" s="134"/>
      <c r="F23" s="134"/>
      <c r="G23" s="134"/>
      <c r="H23" s="134"/>
    </row>
    <row r="24" ht="20.25" customHeight="1">
      <c r="A24" s="3" t="s">
        <v>633</v>
      </c>
      <c r="B24" s="139">
        <f>Valuation!B21</f>
        <v>0.03</v>
      </c>
      <c r="C24" s="139"/>
      <c r="D24" s="139"/>
      <c r="E24" s="139"/>
      <c r="F24" s="139"/>
      <c r="G24" s="139"/>
      <c r="H24" s="139"/>
    </row>
    <row r="25" ht="20.25" customHeight="1">
      <c r="A25" s="3" t="s">
        <v>634</v>
      </c>
      <c r="B25" s="139">
        <f>MAX(Valuation!B29,G57/('Capital and FCFF'!L26+'Capital and FCFF'!L35))</f>
        <v>0.2288466718</v>
      </c>
      <c r="C25" s="139"/>
      <c r="D25" s="139"/>
      <c r="E25" s="139"/>
      <c r="F25" s="139"/>
      <c r="G25" s="139"/>
      <c r="H25" s="139"/>
    </row>
    <row r="26" ht="20.25" customHeight="1">
      <c r="A26" s="3" t="s">
        <v>635</v>
      </c>
      <c r="B26" s="139">
        <f>B24/B25</f>
        <v>0.1310921403</v>
      </c>
      <c r="C26" s="139"/>
      <c r="D26" s="139"/>
      <c r="E26" s="139"/>
      <c r="F26" s="139"/>
      <c r="G26" s="139"/>
      <c r="H26" s="139"/>
    </row>
    <row r="27" ht="20.25" customHeight="1">
      <c r="A27" s="3" t="s">
        <v>636</v>
      </c>
      <c r="B27" s="139">
        <f>H10</f>
        <v>0.2936019693</v>
      </c>
      <c r="C27" s="139"/>
      <c r="D27" s="139"/>
      <c r="E27" s="139"/>
      <c r="F27" s="139"/>
      <c r="G27" s="139"/>
      <c r="H27" s="139"/>
    </row>
    <row r="28" ht="20.25" customHeight="1">
      <c r="A28" s="3" t="s">
        <v>637</v>
      </c>
      <c r="B28" s="156" t="str">
        <f>IF(AND(ISNUMBER(Valuation!B29),B24&lt;Valuation!B29,B24&lt;B25),"Ready","Review WACC / terminal inputs")</f>
        <v>Ready</v>
      </c>
    </row>
    <row r="29" ht="20.25" customHeight="1">
      <c r="A29" s="3"/>
      <c r="B29" s="135"/>
      <c r="C29" s="135"/>
      <c r="D29" s="135"/>
      <c r="E29" s="135"/>
      <c r="F29" s="135"/>
      <c r="G29" s="135"/>
      <c r="H29" s="135"/>
    </row>
    <row r="30" ht="20.25" customHeight="1">
      <c r="A30" s="3"/>
      <c r="B30" s="135"/>
      <c r="C30" s="135"/>
      <c r="D30" s="135"/>
      <c r="E30" s="135"/>
      <c r="F30" s="135"/>
      <c r="G30" s="135"/>
      <c r="H30" s="135"/>
    </row>
    <row r="31" ht="31.5" customHeight="1">
      <c r="A31" s="2" t="s">
        <v>638</v>
      </c>
    </row>
    <row r="32" ht="31.5" customHeight="1">
      <c r="A32" s="2" t="s">
        <v>639</v>
      </c>
    </row>
    <row r="33" ht="31.5" customHeight="1">
      <c r="A33" s="2" t="s">
        <v>640</v>
      </c>
    </row>
    <row r="35">
      <c r="A35" s="157" t="s">
        <v>641</v>
      </c>
      <c r="B35" s="157"/>
      <c r="C35" s="157"/>
      <c r="D35" s="157"/>
      <c r="E35" s="157"/>
      <c r="F35" s="157"/>
      <c r="G35" s="157"/>
      <c r="H35" s="157"/>
    </row>
    <row r="36" ht="33.75" customHeight="1">
      <c r="A36" s="54" t="s">
        <v>642</v>
      </c>
      <c r="B36" s="158">
        <f>IF(B15&gt;0,(C57-B57)/B15,"n.m.")</f>
        <v>0.1699473247</v>
      </c>
      <c r="C36" s="158">
        <f t="shared" ref="C36:G36" si="7">IF(C15&gt;0,C37/C15,"n.m.")</f>
        <v>0.290685109</v>
      </c>
      <c r="D36" s="158">
        <f t="shared" si="7"/>
        <v>0.2541730652</v>
      </c>
      <c r="E36" s="158">
        <f t="shared" si="7"/>
        <v>0.272667023</v>
      </c>
      <c r="F36" s="158">
        <f t="shared" si="7"/>
        <v>0.2528851747</v>
      </c>
      <c r="G36" s="158">
        <f t="shared" si="7"/>
        <v>0.4499608769</v>
      </c>
      <c r="H36" s="158">
        <f>$B$25</f>
        <v>0.2288466718</v>
      </c>
    </row>
    <row r="37">
      <c r="A37" s="54" t="s">
        <v>643</v>
      </c>
      <c r="B37" s="50">
        <f>C57-B59</f>
        <v>13136.4986</v>
      </c>
      <c r="C37" s="50">
        <f t="shared" ref="C37:G37" si="8">D57-C57</f>
        <v>16340.89674</v>
      </c>
      <c r="D37" s="50">
        <f t="shared" si="8"/>
        <v>14572.94119</v>
      </c>
      <c r="E37" s="50">
        <f t="shared" si="8"/>
        <v>11676.50761</v>
      </c>
      <c r="F37" s="50">
        <f t="shared" si="8"/>
        <v>8143.897961</v>
      </c>
      <c r="G37" s="50">
        <f t="shared" si="8"/>
        <v>8588.971702</v>
      </c>
      <c r="H37" s="50">
        <f>H57*$B$24</f>
        <v>8846.640854</v>
      </c>
    </row>
    <row r="38" ht="21.0" customHeight="1">
      <c r="A38" s="81" t="s">
        <v>644</v>
      </c>
      <c r="B38" s="124"/>
      <c r="C38" s="124">
        <f t="shared" ref="C38:G38" si="9">C15</f>
        <v>56215.11467</v>
      </c>
      <c r="D38" s="124">
        <f t="shared" si="9"/>
        <v>57334.71869</v>
      </c>
      <c r="E38" s="124">
        <f t="shared" si="9"/>
        <v>42823.32159</v>
      </c>
      <c r="F38" s="124">
        <f t="shared" si="9"/>
        <v>32203.93592</v>
      </c>
      <c r="G38" s="124">
        <f t="shared" si="9"/>
        <v>19088.26332</v>
      </c>
      <c r="H38" s="124"/>
    </row>
    <row r="39" ht="21.0" customHeight="1">
      <c r="A39" s="81" t="s">
        <v>645</v>
      </c>
      <c r="B39" s="87"/>
      <c r="C39" s="87">
        <f>'Capital and FCFF'!H40</f>
        <v>0.2193813471</v>
      </c>
      <c r="D39" s="87">
        <f>'Capital and FCFF'!I40</f>
        <v>0.2228251526</v>
      </c>
      <c r="E39" s="87">
        <f>'Capital and FCFF'!J40</f>
        <v>0.2257224935</v>
      </c>
      <c r="F39" s="87">
        <f>'Capital and FCFF'!K40</f>
        <v>0.2283616407</v>
      </c>
      <c r="G39" s="87">
        <f>'Capital and FCFF'!L40</f>
        <v>0.2302040074</v>
      </c>
      <c r="H39" s="87"/>
    </row>
    <row r="40" ht="21.0" customHeight="1">
      <c r="A40" s="81" t="s">
        <v>450</v>
      </c>
      <c r="B40" s="124"/>
      <c r="C40" s="159">
        <f>'Capital and FCFF'!H15</f>
        <v>241187.9007</v>
      </c>
      <c r="D40" s="159">
        <f>'Capital and FCFF'!I15</f>
        <v>244264.3858</v>
      </c>
      <c r="E40" s="159">
        <f>'Capital and FCFF'!J15</f>
        <v>240274.4901</v>
      </c>
      <c r="F40" s="159">
        <f>'Capital and FCFF'!K15</f>
        <v>234696.2638</v>
      </c>
      <c r="G40" s="159">
        <f>'Capital and FCFF'!L15</f>
        <v>226396.8775</v>
      </c>
      <c r="H40" s="159"/>
    </row>
    <row r="41" ht="21.0" customHeight="1">
      <c r="A41" s="83"/>
      <c r="B41" s="124"/>
      <c r="C41" s="124"/>
      <c r="D41" s="124"/>
      <c r="E41" s="124"/>
      <c r="F41" s="124"/>
      <c r="G41" s="124"/>
      <c r="H41" s="124"/>
    </row>
    <row r="42" ht="21.0" customHeight="1">
      <c r="A42" s="81" t="s">
        <v>646</v>
      </c>
      <c r="B42" s="87">
        <f>H16/G16-1</f>
        <v>-0.04109215661</v>
      </c>
      <c r="C42" s="160" t="s">
        <v>647</v>
      </c>
      <c r="D42" s="87"/>
      <c r="E42" s="87"/>
      <c r="F42" s="87"/>
      <c r="G42" s="87"/>
      <c r="H42" s="87"/>
    </row>
    <row r="43" ht="21.0" customHeight="1">
      <c r="A43" s="81" t="s">
        <v>648</v>
      </c>
      <c r="B43" s="87">
        <f>H15/G15</f>
        <v>2.025197481</v>
      </c>
      <c r="C43" s="160" t="s">
        <v>649</v>
      </c>
      <c r="D43" s="87"/>
      <c r="E43" s="87"/>
      <c r="F43" s="87"/>
      <c r="G43" s="87"/>
      <c r="H43" s="87"/>
    </row>
    <row r="44" ht="21.0" customHeight="1">
      <c r="A44" s="81" t="s">
        <v>650</v>
      </c>
      <c r="B44" s="83" t="str">
        <f>IF(ABS(B42)&lt;=0.25,"Within 25% review threshold","Review terminal transition")</f>
        <v>Within 25% review threshold</v>
      </c>
      <c r="C44" s="81" t="s">
        <v>651</v>
      </c>
      <c r="D44" s="83"/>
      <c r="E44" s="83"/>
      <c r="F44" s="83"/>
      <c r="G44" s="83"/>
      <c r="H44" s="83"/>
    </row>
    <row r="46">
      <c r="A46" s="161" t="s">
        <v>652</v>
      </c>
    </row>
    <row r="47">
      <c r="A47" s="89" t="s">
        <v>653</v>
      </c>
      <c r="B47" s="162">
        <f>'Capital and FCFF'!G15</f>
        <v>244953.2736</v>
      </c>
    </row>
    <row r="48">
      <c r="A48" s="89" t="s">
        <v>654</v>
      </c>
      <c r="B48" s="163">
        <f>Assumptions!G234*(1+B8)/(1+0.5*B8)</f>
        <v>0.7675891985</v>
      </c>
    </row>
    <row r="49">
      <c r="A49" s="89" t="s">
        <v>655</v>
      </c>
      <c r="B49" s="163">
        <f>Assumptions!B192</f>
        <v>1</v>
      </c>
    </row>
    <row r="50">
      <c r="A50" s="89" t="s">
        <v>656</v>
      </c>
      <c r="B50" s="163">
        <f>('Capital and FCFF'!G26-'Capital and FCFF'!G15)/B9</f>
        <v>0.7778391144</v>
      </c>
    </row>
    <row r="51">
      <c r="A51" s="89" t="s">
        <v>657</v>
      </c>
      <c r="B51" s="164">
        <v>0.0</v>
      </c>
    </row>
    <row r="52">
      <c r="A52" s="89" t="s">
        <v>658</v>
      </c>
      <c r="B52" s="158">
        <f>B10</f>
        <v>0.2843927873</v>
      </c>
    </row>
    <row r="53">
      <c r="A53" s="89" t="s">
        <v>659</v>
      </c>
      <c r="B53" s="165">
        <f>B13</f>
        <v>221373.3146</v>
      </c>
    </row>
    <row r="54" ht="67.5" customHeight="1">
      <c r="A54" s="166" t="s">
        <v>660</v>
      </c>
      <c r="B54" s="41"/>
      <c r="C54" s="41"/>
      <c r="D54" s="41"/>
      <c r="E54" s="41"/>
      <c r="F54" s="41"/>
      <c r="G54" s="41"/>
      <c r="H54" s="41"/>
    </row>
    <row r="55">
      <c r="A55" s="89" t="s">
        <v>661</v>
      </c>
      <c r="B55" s="158">
        <f>(B11+'Capital and FCFF'!G24+B56)/B9</f>
        <v>0.4304487575</v>
      </c>
    </row>
    <row r="56">
      <c r="A56" s="89" t="s">
        <v>662</v>
      </c>
      <c r="B56" s="165">
        <f>'Capital and FCFF'!G25</f>
        <v>1055</v>
      </c>
      <c r="C56" s="165">
        <f>'Capital and FCFF'!H25</f>
        <v>499</v>
      </c>
      <c r="D56" s="165">
        <f>'Capital and FCFF'!I25</f>
        <v>499</v>
      </c>
      <c r="E56" s="165">
        <f>'Capital and FCFF'!J25</f>
        <v>499</v>
      </c>
      <c r="F56" s="165">
        <f>'Capital and FCFF'!K25</f>
        <v>499</v>
      </c>
      <c r="G56" s="165">
        <f>'Capital and FCFF'!L25</f>
        <v>499</v>
      </c>
      <c r="H56" s="165">
        <f>0</f>
        <v>0</v>
      </c>
    </row>
    <row r="57">
      <c r="A57" s="89" t="s">
        <v>663</v>
      </c>
      <c r="B57" s="165">
        <f t="shared" ref="B57:H57" si="10">(B11+B56)-MAX(0,B11+B56)*B12</f>
        <v>222428.3146</v>
      </c>
      <c r="C57" s="165">
        <f t="shared" si="10"/>
        <v>235564.8132</v>
      </c>
      <c r="D57" s="165">
        <f t="shared" si="10"/>
        <v>251905.71</v>
      </c>
      <c r="E57" s="165">
        <f t="shared" si="10"/>
        <v>266478.6512</v>
      </c>
      <c r="F57" s="165">
        <f t="shared" si="10"/>
        <v>278155.1588</v>
      </c>
      <c r="G57" s="165">
        <f t="shared" si="10"/>
        <v>286299.0567</v>
      </c>
      <c r="H57" s="165">
        <f t="shared" si="10"/>
        <v>294888.0285</v>
      </c>
    </row>
    <row r="58">
      <c r="A58" s="89" t="s">
        <v>664</v>
      </c>
      <c r="B58" s="165">
        <f>MAX(0,B11+B56)*B12-MAX(0,B11+B56*(1-Assumptions!$B$239))*B12</f>
        <v>0</v>
      </c>
      <c r="C58" s="165">
        <f>MAX(0,C11+C56)*C12-MAX(0,C11+C56*(1-Assumptions!$B$239))*C12</f>
        <v>0</v>
      </c>
      <c r="D58" s="165">
        <f>MAX(0,D11+D56)*D12-MAX(0,D11+D56*(1-Assumptions!$B$239))*D12</f>
        <v>0</v>
      </c>
      <c r="E58" s="165">
        <f>MAX(0,E11+E56)*E12-MAX(0,E11+E56*(1-Assumptions!$B$239))*E12</f>
        <v>0</v>
      </c>
      <c r="F58" s="165">
        <f>MAX(0,F11+F56)*F12-MAX(0,F11+F56*(1-Assumptions!$B$239))*F12</f>
        <v>0</v>
      </c>
      <c r="G58" s="165">
        <f>MAX(0,G11+G56)*G12-MAX(0,G11+G56*(1-Assumptions!$B$239))*G12</f>
        <v>0</v>
      </c>
      <c r="H58" s="165">
        <f>MAX(0,H11+H56)*H12-MAX(0,H11+H56*(1-Assumptions!$B$239))*H12</f>
        <v>0</v>
      </c>
    </row>
    <row r="59">
      <c r="A59" s="89" t="s">
        <v>665</v>
      </c>
      <c r="B59" s="165">
        <f>B57</f>
        <v>222428.3146</v>
      </c>
      <c r="C59" s="165"/>
      <c r="D59" s="165"/>
      <c r="E59" s="165"/>
      <c r="F59" s="165"/>
      <c r="G59" s="165"/>
      <c r="H59" s="165"/>
    </row>
    <row r="60">
      <c r="A60" s="89" t="s">
        <v>666</v>
      </c>
      <c r="B60" s="165">
        <f>B15</f>
        <v>77297.47213</v>
      </c>
      <c r="C60" s="165"/>
      <c r="D60" s="165"/>
      <c r="E60" s="165"/>
      <c r="F60" s="165"/>
      <c r="G60" s="165"/>
      <c r="H60" s="165"/>
    </row>
  </sheetData>
  <mergeCells count="6">
    <mergeCell ref="A1:H1"/>
    <mergeCell ref="A2:H2"/>
    <mergeCell ref="B28:H28"/>
    <mergeCell ref="A31:H31"/>
    <mergeCell ref="A32:H32"/>
    <mergeCell ref="A33:H3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45.13"/>
    <col customWidth="1" min="2" max="6" width="15.13"/>
    <col customWidth="1" min="7" max="7" width="65.13"/>
  </cols>
  <sheetData>
    <row r="1">
      <c r="A1" s="167" t="s">
        <v>667</v>
      </c>
    </row>
    <row r="2">
      <c r="A2" s="89" t="s">
        <v>668</v>
      </c>
    </row>
    <row r="4">
      <c r="A4" s="161" t="s">
        <v>669</v>
      </c>
      <c r="B4" s="168"/>
      <c r="C4" s="168"/>
      <c r="D4" s="168"/>
      <c r="E4" s="168"/>
      <c r="F4" s="168"/>
      <c r="G4" s="168"/>
    </row>
    <row r="5">
      <c r="A5" s="161" t="s">
        <v>670</v>
      </c>
      <c r="B5" s="161" t="s">
        <v>671</v>
      </c>
      <c r="C5" s="161" t="s">
        <v>672</v>
      </c>
      <c r="D5" s="161" t="s">
        <v>673</v>
      </c>
      <c r="E5" s="161" t="s">
        <v>674</v>
      </c>
      <c r="F5" s="161" t="s">
        <v>675</v>
      </c>
      <c r="G5" s="161" t="s">
        <v>265</v>
      </c>
    </row>
    <row r="6">
      <c r="A6" s="89" t="s">
        <v>676</v>
      </c>
      <c r="B6" s="89" t="s">
        <v>677</v>
      </c>
      <c r="C6" s="89" t="s">
        <v>678</v>
      </c>
      <c r="D6" s="89" t="s">
        <v>679</v>
      </c>
      <c r="E6" s="89" t="s">
        <v>680</v>
      </c>
      <c r="F6" s="89" t="s">
        <v>681</v>
      </c>
      <c r="G6" s="166" t="s">
        <v>682</v>
      </c>
    </row>
    <row r="7">
      <c r="A7" s="89" t="s">
        <v>683</v>
      </c>
      <c r="B7" s="169"/>
      <c r="C7" s="170">
        <v>642.62</v>
      </c>
      <c r="D7" s="170">
        <v>524.51</v>
      </c>
      <c r="E7" s="170">
        <v>126.16</v>
      </c>
      <c r="F7" s="170">
        <v>248.0</v>
      </c>
      <c r="G7" s="166" t="s">
        <v>684</v>
      </c>
    </row>
    <row r="8">
      <c r="A8" s="89" t="s">
        <v>685</v>
      </c>
      <c r="B8" s="171"/>
      <c r="C8" s="172">
        <v>2556.241253</v>
      </c>
      <c r="D8" s="172">
        <v>7425.545491</v>
      </c>
      <c r="E8" s="172">
        <v>3023.736</v>
      </c>
      <c r="F8" s="172">
        <v>10783.0</v>
      </c>
      <c r="G8" s="166" t="s">
        <v>686</v>
      </c>
    </row>
    <row r="9">
      <c r="A9" s="89" t="s">
        <v>7</v>
      </c>
      <c r="B9" s="162">
        <f>Valuation!B7</f>
        <v>3916000</v>
      </c>
      <c r="C9" s="173">
        <f t="shared" ref="C9:F9" si="1">C7*C8</f>
        <v>1642691.754</v>
      </c>
      <c r="D9" s="173">
        <f t="shared" si="1"/>
        <v>3894772.865</v>
      </c>
      <c r="E9" s="173">
        <f t="shared" si="1"/>
        <v>381474.5338</v>
      </c>
      <c r="F9" s="173">
        <f t="shared" si="1"/>
        <v>2674184</v>
      </c>
      <c r="G9" s="41"/>
    </row>
    <row r="10">
      <c r="A10" s="89" t="s">
        <v>687</v>
      </c>
      <c r="B10" s="162"/>
      <c r="C10" s="174">
        <f>B73+B74+B75+B76</f>
        <v>108151</v>
      </c>
      <c r="D10" s="174">
        <v>106888.0</v>
      </c>
      <c r="E10" s="174">
        <f>7625+117712+749+8436+4954+424</f>
        <v>139900</v>
      </c>
      <c r="F10" s="173"/>
      <c r="G10" s="166" t="s">
        <v>688</v>
      </c>
    </row>
    <row r="11">
      <c r="A11" s="89" t="s">
        <v>689</v>
      </c>
      <c r="B11" s="162"/>
      <c r="C11" s="174">
        <f>11222+71227</f>
        <v>82449</v>
      </c>
      <c r="D11" s="174">
        <v>76843.0</v>
      </c>
      <c r="E11" s="174">
        <f>36369+708</f>
        <v>37077</v>
      </c>
      <c r="F11" s="173"/>
      <c r="G11" s="166" t="s">
        <v>690</v>
      </c>
    </row>
    <row r="12">
      <c r="A12" s="89" t="s">
        <v>691</v>
      </c>
      <c r="B12" s="162"/>
      <c r="C12" s="174">
        <v>32624.0</v>
      </c>
      <c r="D12" s="174">
        <v>36348.0</v>
      </c>
      <c r="E12" s="174">
        <v>2400.0</v>
      </c>
      <c r="F12" s="173"/>
      <c r="G12" s="166" t="s">
        <v>692</v>
      </c>
    </row>
    <row r="13">
      <c r="A13" s="89" t="s">
        <v>693</v>
      </c>
      <c r="B13" s="162"/>
      <c r="C13" s="173">
        <f t="shared" ref="C13:E13" si="2">0.02*C15</f>
        <v>4832.1</v>
      </c>
      <c r="D13" s="173">
        <f t="shared" si="2"/>
        <v>6636.78</v>
      </c>
      <c r="E13" s="173">
        <f t="shared" si="2"/>
        <v>1435.52</v>
      </c>
      <c r="F13" s="173"/>
      <c r="G13" s="166" t="s">
        <v>694</v>
      </c>
    </row>
    <row r="14">
      <c r="A14" s="89" t="s">
        <v>695</v>
      </c>
      <c r="B14" s="162">
        <f>Valuation!B52</f>
        <v>3749969.853</v>
      </c>
      <c r="C14" s="173">
        <f t="shared" ref="C14:E14" si="3">C9+C10-C11-C12+C13</f>
        <v>1640601.854</v>
      </c>
      <c r="D14" s="173">
        <f t="shared" si="3"/>
        <v>3895106.645</v>
      </c>
      <c r="E14" s="173">
        <f t="shared" si="3"/>
        <v>483333.0538</v>
      </c>
      <c r="F14" s="173"/>
      <c r="G14" s="166" t="s">
        <v>696</v>
      </c>
    </row>
    <row r="15">
      <c r="A15" s="89" t="s">
        <v>625</v>
      </c>
      <c r="B15" s="162">
        <f>'Historical base'!F16</f>
        <v>445866</v>
      </c>
      <c r="C15" s="174">
        <f>200966+181712-141073</f>
        <v>241605</v>
      </c>
      <c r="D15" s="174">
        <v>331839.0</v>
      </c>
      <c r="E15" s="174">
        <f>67357+19345-14926</f>
        <v>71776</v>
      </c>
      <c r="F15" s="174">
        <v>148404.0</v>
      </c>
      <c r="G15" s="166" t="s">
        <v>697</v>
      </c>
    </row>
    <row r="16">
      <c r="A16" s="89" t="s">
        <v>698</v>
      </c>
      <c r="B16" s="175">
        <f>'Historical base'!F16/371399-1</f>
        <v>0.2005040401</v>
      </c>
      <c r="C16" s="176">
        <f>C15/B78-1</f>
        <v>0.2752430618</v>
      </c>
      <c r="D16" s="177">
        <f>331839/281724-1</f>
        <v>0.177886868</v>
      </c>
      <c r="E16" s="177">
        <f>E15/(57399+14926-13307)-1</f>
        <v>0.2161713376</v>
      </c>
      <c r="F16" s="176">
        <v>0.2752</v>
      </c>
      <c r="G16" s="166" t="s">
        <v>699</v>
      </c>
    </row>
    <row r="17">
      <c r="A17" s="89" t="s">
        <v>700</v>
      </c>
      <c r="B17" s="162">
        <f>'Historical base'!F24</f>
        <v>147628</v>
      </c>
      <c r="C17" s="174">
        <f>83276+54635-58531</f>
        <v>79380</v>
      </c>
      <c r="D17" s="174">
        <v>155237.0</v>
      </c>
      <c r="E17" s="174">
        <f>20606+6728-4277</f>
        <v>23057</v>
      </c>
      <c r="F17" s="174">
        <v>54681.0</v>
      </c>
      <c r="G17" s="166" t="s">
        <v>701</v>
      </c>
    </row>
    <row r="18">
      <c r="A18" s="89" t="s">
        <v>626</v>
      </c>
      <c r="B18" s="158">
        <f t="shared" ref="B18:F18" si="4">B17/B15</f>
        <v>0.331103964</v>
      </c>
      <c r="C18" s="177">
        <f t="shared" si="4"/>
        <v>0.3285528031</v>
      </c>
      <c r="D18" s="177">
        <f t="shared" si="4"/>
        <v>0.4678081841</v>
      </c>
      <c r="E18" s="177">
        <f t="shared" si="4"/>
        <v>0.3212355105</v>
      </c>
      <c r="F18" s="177">
        <f t="shared" si="4"/>
        <v>0.3684604189</v>
      </c>
      <c r="G18" s="41"/>
    </row>
    <row r="19">
      <c r="A19" s="89" t="s">
        <v>702</v>
      </c>
      <c r="B19" s="162">
        <f>'Historical base'!F35</f>
        <v>132402</v>
      </c>
      <c r="C19" s="164">
        <f>69691+83055-48308</f>
        <v>104438</v>
      </c>
      <c r="D19" s="164">
        <v>115948.0</v>
      </c>
      <c r="E19" s="164">
        <f>55663+28499-8502</f>
        <v>75660</v>
      </c>
      <c r="F19" s="162"/>
      <c r="G19" s="166" t="s">
        <v>703</v>
      </c>
    </row>
    <row r="20">
      <c r="A20" s="89" t="s">
        <v>704</v>
      </c>
      <c r="B20" s="158">
        <f t="shared" ref="B20:E20" si="5">B19/B15</f>
        <v>0.2969546904</v>
      </c>
      <c r="C20" s="158">
        <f t="shared" si="5"/>
        <v>0.4322675441</v>
      </c>
      <c r="D20" s="158">
        <f t="shared" si="5"/>
        <v>0.3494104069</v>
      </c>
      <c r="E20" s="158">
        <f t="shared" si="5"/>
        <v>1.054112795</v>
      </c>
      <c r="F20" s="158"/>
      <c r="G20" s="41"/>
    </row>
    <row r="21">
      <c r="A21" s="89" t="s">
        <v>705</v>
      </c>
      <c r="B21" s="178">
        <f t="shared" ref="B21:E21" si="6">B14/B17</f>
        <v>25.40148111</v>
      </c>
      <c r="C21" s="178">
        <f t="shared" si="6"/>
        <v>20.66769783</v>
      </c>
      <c r="D21" s="178">
        <f t="shared" si="6"/>
        <v>25.0913548</v>
      </c>
      <c r="E21" s="178">
        <f t="shared" si="6"/>
        <v>20.96252998</v>
      </c>
      <c r="F21" s="178"/>
      <c r="G21" s="166" t="s">
        <v>706</v>
      </c>
    </row>
    <row r="22">
      <c r="A22" s="89" t="s">
        <v>707</v>
      </c>
      <c r="B22" s="178">
        <f>Valuation!B48/B17</f>
        <v>16.90680853</v>
      </c>
      <c r="C22" s="178"/>
      <c r="D22" s="178"/>
      <c r="E22" s="178"/>
      <c r="F22" s="178"/>
      <c r="G22" s="166" t="s">
        <v>708</v>
      </c>
    </row>
    <row r="23">
      <c r="G23" s="41"/>
    </row>
    <row r="24">
      <c r="A24" s="161" t="s">
        <v>709</v>
      </c>
      <c r="B24" s="161" t="s">
        <v>625</v>
      </c>
      <c r="C24" s="161" t="s">
        <v>710</v>
      </c>
      <c r="D24" s="161" t="s">
        <v>711</v>
      </c>
      <c r="E24" s="161" t="s">
        <v>712</v>
      </c>
      <c r="F24" s="168"/>
      <c r="G24" s="179" t="s">
        <v>265</v>
      </c>
    </row>
    <row r="25">
      <c r="A25" s="89" t="s">
        <v>713</v>
      </c>
      <c r="B25" s="180">
        <f>'Historical base'!F13</f>
        <v>77617</v>
      </c>
      <c r="C25" s="175">
        <v>0.578</v>
      </c>
      <c r="D25" s="180">
        <f>'Historical base'!F21</f>
        <v>24319</v>
      </c>
      <c r="E25" s="158">
        <f t="shared" ref="E25:E27" si="7">D25/B25</f>
        <v>0.3133205354</v>
      </c>
      <c r="G25" s="166" t="s">
        <v>714</v>
      </c>
    </row>
    <row r="26">
      <c r="A26" s="89" t="s">
        <v>715</v>
      </c>
      <c r="B26" s="181">
        <v>148404.0</v>
      </c>
      <c r="C26" s="175">
        <v>0.2752</v>
      </c>
      <c r="D26" s="181">
        <v>54681.0</v>
      </c>
      <c r="E26" s="158">
        <f t="shared" si="7"/>
        <v>0.3684604189</v>
      </c>
      <c r="G26" s="166" t="s">
        <v>716</v>
      </c>
    </row>
    <row r="27">
      <c r="A27" s="89" t="s">
        <v>717</v>
      </c>
      <c r="B27" s="181">
        <v>137791.0</v>
      </c>
      <c r="C27" s="158">
        <f>137791/106265-1</f>
        <v>0.2966734108</v>
      </c>
      <c r="D27" s="181">
        <v>56972.0</v>
      </c>
      <c r="E27" s="158">
        <f t="shared" si="7"/>
        <v>0.4134667721</v>
      </c>
      <c r="G27" s="166" t="s">
        <v>718</v>
      </c>
    </row>
    <row r="28">
      <c r="A28" s="89" t="s">
        <v>719</v>
      </c>
      <c r="B28" s="181">
        <v>18101.0</v>
      </c>
      <c r="C28" s="158">
        <f>18101/10234-1</f>
        <v>0.768712136</v>
      </c>
      <c r="D28" s="180"/>
      <c r="E28" s="158"/>
      <c r="G28" s="166" t="s">
        <v>720</v>
      </c>
    </row>
    <row r="29">
      <c r="A29" s="89" t="s">
        <v>721</v>
      </c>
      <c r="B29" s="180">
        <f>'Historical base'!F12</f>
        <v>367091</v>
      </c>
      <c r="C29" s="158"/>
      <c r="D29" s="180">
        <f>'Historical base'!F20</f>
        <v>153792</v>
      </c>
      <c r="E29" s="158">
        <f>D29/B29</f>
        <v>0.4189478903</v>
      </c>
      <c r="G29" s="166" t="s">
        <v>722</v>
      </c>
    </row>
    <row r="30">
      <c r="A30" s="89" t="s">
        <v>723</v>
      </c>
      <c r="B30" s="180"/>
      <c r="C30" s="158"/>
      <c r="D30" s="181">
        <f>102469+67410-71702</f>
        <v>98177</v>
      </c>
      <c r="E30" s="158"/>
      <c r="G30" s="166" t="s">
        <v>724</v>
      </c>
    </row>
    <row r="31">
      <c r="G31" s="41"/>
    </row>
    <row r="32">
      <c r="G32" s="41"/>
    </row>
    <row r="33">
      <c r="A33" s="161" t="s">
        <v>725</v>
      </c>
      <c r="B33" s="168"/>
      <c r="C33" s="168"/>
      <c r="D33" s="168"/>
      <c r="E33" s="168"/>
      <c r="F33" s="168"/>
      <c r="G33" s="182"/>
    </row>
    <row r="34">
      <c r="A34" s="168"/>
      <c r="B34" s="161" t="s">
        <v>726</v>
      </c>
      <c r="C34" s="161" t="s">
        <v>727</v>
      </c>
      <c r="D34" s="161" t="s">
        <v>728</v>
      </c>
      <c r="E34" s="168"/>
      <c r="F34" s="168"/>
      <c r="G34" s="179" t="s">
        <v>6</v>
      </c>
    </row>
    <row r="35">
      <c r="A35" s="89" t="s">
        <v>729</v>
      </c>
      <c r="B35" s="178">
        <f>C14/$B$72</f>
        <v>15.18133985</v>
      </c>
      <c r="C35" s="178">
        <f>AVERAGE(B35,D35)</f>
        <v>16.77965757</v>
      </c>
      <c r="D35" s="178">
        <f>C14/$B$71</f>
        <v>18.37797529</v>
      </c>
      <c r="G35" s="166" t="s">
        <v>730</v>
      </c>
    </row>
    <row r="36">
      <c r="A36" s="89" t="s">
        <v>731</v>
      </c>
      <c r="B36" s="178">
        <f>MIN(D21,E21)</f>
        <v>20.96252998</v>
      </c>
      <c r="C36" s="178">
        <f>AVERAGE(D21,E21)</f>
        <v>23.02694239</v>
      </c>
      <c r="D36" s="178">
        <f>MAX(D21,E21)</f>
        <v>25.0913548</v>
      </c>
      <c r="G36" s="166" t="s">
        <v>732</v>
      </c>
    </row>
    <row r="37">
      <c r="A37" s="89" t="s">
        <v>733</v>
      </c>
      <c r="B37" s="180">
        <f>D25</f>
        <v>24319</v>
      </c>
      <c r="C37" s="180">
        <f>D25</f>
        <v>24319</v>
      </c>
      <c r="D37" s="180">
        <f>2*'Historical base'!E21</f>
        <v>30824</v>
      </c>
      <c r="G37" s="166" t="s">
        <v>734</v>
      </c>
    </row>
    <row r="38">
      <c r="A38" s="89" t="s">
        <v>735</v>
      </c>
      <c r="B38" s="178">
        <f t="shared" ref="B38:D38" si="8">($D$29*B35+B37*B36)/($D$29+B37)</f>
        <v>15.9706946</v>
      </c>
      <c r="C38" s="178">
        <f t="shared" si="8"/>
        <v>17.63265216</v>
      </c>
      <c r="D38" s="178">
        <f t="shared" si="8"/>
        <v>19.49885977</v>
      </c>
      <c r="G38" s="166" t="s">
        <v>736</v>
      </c>
    </row>
    <row r="39">
      <c r="A39" s="89" t="s">
        <v>737</v>
      </c>
      <c r="B39" s="183">
        <v>126000.0</v>
      </c>
      <c r="C39" s="183">
        <v>126000.0</v>
      </c>
      <c r="D39" s="183">
        <v>126000.0</v>
      </c>
      <c r="G39" s="166" t="s">
        <v>738</v>
      </c>
    </row>
    <row r="40">
      <c r="A40" s="89" t="s">
        <v>739</v>
      </c>
      <c r="B40" s="184">
        <v>0.6</v>
      </c>
      <c r="C40" s="184">
        <v>0.75</v>
      </c>
      <c r="D40" s="184">
        <v>0.9</v>
      </c>
      <c r="G40" s="166" t="s">
        <v>740</v>
      </c>
    </row>
    <row r="41">
      <c r="A41" s="89" t="s">
        <v>741</v>
      </c>
      <c r="B41" s="184">
        <v>0.5</v>
      </c>
      <c r="C41" s="184">
        <v>0.65</v>
      </c>
      <c r="D41" s="184">
        <v>0.8</v>
      </c>
      <c r="G41" s="166" t="s">
        <v>742</v>
      </c>
    </row>
    <row r="42">
      <c r="A42" s="89" t="s">
        <v>743</v>
      </c>
      <c r="B42" s="183">
        <v>5.0</v>
      </c>
      <c r="C42" s="183">
        <v>5.0</v>
      </c>
      <c r="D42" s="183">
        <v>5.0</v>
      </c>
      <c r="G42" s="166" t="s">
        <v>744</v>
      </c>
    </row>
    <row r="43">
      <c r="A43" s="89" t="s">
        <v>745</v>
      </c>
      <c r="B43" s="183">
        <v>16000.0</v>
      </c>
      <c r="C43" s="183">
        <v>8000.0</v>
      </c>
      <c r="D43" s="183">
        <v>0.0</v>
      </c>
      <c r="G43" s="166" t="s">
        <v>746</v>
      </c>
    </row>
    <row r="44">
      <c r="G44" s="41"/>
    </row>
    <row r="45">
      <c r="A45" s="161" t="s">
        <v>747</v>
      </c>
      <c r="B45" s="161" t="s">
        <v>726</v>
      </c>
      <c r="C45" s="161" t="s">
        <v>727</v>
      </c>
      <c r="D45" s="161" t="s">
        <v>728</v>
      </c>
      <c r="E45" s="168"/>
      <c r="F45" s="168"/>
      <c r="G45" s="179" t="s">
        <v>6</v>
      </c>
    </row>
    <row r="46">
      <c r="A46" s="89" t="s">
        <v>276</v>
      </c>
      <c r="B46" s="162">
        <f t="shared" ref="B46:D46" si="9">$D$29*B35</f>
        <v>2334768.619</v>
      </c>
      <c r="C46" s="162">
        <f t="shared" si="9"/>
        <v>2580577.097</v>
      </c>
      <c r="D46" s="162">
        <f t="shared" si="9"/>
        <v>2826385.576</v>
      </c>
      <c r="G46" s="166" t="s">
        <v>748</v>
      </c>
    </row>
    <row r="47">
      <c r="A47" s="89" t="s">
        <v>278</v>
      </c>
      <c r="B47" s="162">
        <f t="shared" ref="B47:D47" si="10">B37*B36</f>
        <v>509787.7666</v>
      </c>
      <c r="C47" s="162">
        <f t="shared" si="10"/>
        <v>559992.212</v>
      </c>
      <c r="D47" s="162">
        <f t="shared" si="10"/>
        <v>773415.9204</v>
      </c>
      <c r="G47" s="166" t="s">
        <v>749</v>
      </c>
    </row>
    <row r="48">
      <c r="A48" s="89" t="s">
        <v>750</v>
      </c>
      <c r="B48" s="162">
        <f>'Historical base'!$F$23*B38</f>
        <v>-344024.7323</v>
      </c>
      <c r="C48" s="162">
        <f>'Historical base'!$F$23*C38</f>
        <v>-379824.9602</v>
      </c>
      <c r="D48" s="162">
        <f>'Historical base'!$F$23*D38</f>
        <v>-420024.9384</v>
      </c>
      <c r="G48" s="166" t="s">
        <v>751</v>
      </c>
    </row>
    <row r="49">
      <c r="A49" s="89" t="s">
        <v>752</v>
      </c>
      <c r="B49" s="162">
        <f t="shared" ref="B49:D49" si="11">B39*B40</f>
        <v>75600</v>
      </c>
      <c r="C49" s="162">
        <f t="shared" si="11"/>
        <v>94500</v>
      </c>
      <c r="D49" s="162">
        <f t="shared" si="11"/>
        <v>113400</v>
      </c>
      <c r="G49" s="166" t="s">
        <v>753</v>
      </c>
    </row>
    <row r="50">
      <c r="A50" s="89" t="s">
        <v>754</v>
      </c>
      <c r="B50" s="162">
        <f>'Historical base'!$F$22*(1-B41)*(1-Assumptions!$B$5)*(1-(1+Valuation!$B$29)^-B42)/Valuation!$B$29</f>
        <v>-13603.127</v>
      </c>
      <c r="C50" s="162">
        <f>'Historical base'!$F$22*(1-C41)*(1-Assumptions!$B$5)*(1-(1+Valuation!$B$29)^-C42)/Valuation!$B$29</f>
        <v>-9522.188899</v>
      </c>
      <c r="D50" s="162">
        <f>'Historical base'!$F$22*(1-D41)*(1-Assumptions!$B$5)*(1-(1+Valuation!$B$29)^-D42)/Valuation!$B$29</f>
        <v>-5441.250799</v>
      </c>
      <c r="G50" s="166" t="s">
        <v>755</v>
      </c>
    </row>
    <row r="51">
      <c r="A51" s="161" t="s">
        <v>756</v>
      </c>
      <c r="B51" s="185">
        <f t="shared" ref="B51:D51" si="12">SUM(B46:B50)</f>
        <v>2562528.526</v>
      </c>
      <c r="C51" s="185">
        <f t="shared" si="12"/>
        <v>2845722.16</v>
      </c>
      <c r="D51" s="185">
        <f t="shared" si="12"/>
        <v>3287735.307</v>
      </c>
      <c r="G51" s="166" t="s">
        <v>757</v>
      </c>
    </row>
    <row r="52">
      <c r="A52" s="89" t="s">
        <v>758</v>
      </c>
      <c r="B52" s="162">
        <f>Valuation!$B$49</f>
        <v>307266.4721</v>
      </c>
      <c r="C52" s="162">
        <f>Valuation!$B$49</f>
        <v>307266.4721</v>
      </c>
      <c r="D52" s="162">
        <f>Valuation!$B$49</f>
        <v>307266.4721</v>
      </c>
      <c r="G52" s="166" t="s">
        <v>759</v>
      </c>
    </row>
    <row r="53">
      <c r="A53" s="89" t="s">
        <v>760</v>
      </c>
      <c r="B53" s="162">
        <f t="shared" ref="B53:D53" si="13">-B43</f>
        <v>-16000</v>
      </c>
      <c r="C53" s="162">
        <f t="shared" si="13"/>
        <v>-8000</v>
      </c>
      <c r="D53" s="162">
        <f t="shared" si="13"/>
        <v>0</v>
      </c>
      <c r="G53" s="166" t="s">
        <v>761</v>
      </c>
    </row>
    <row r="54">
      <c r="A54" s="89" t="s">
        <v>762</v>
      </c>
      <c r="B54" s="162">
        <f>-Valuation!$B$50</f>
        <v>-141236.325</v>
      </c>
      <c r="C54" s="162">
        <f>-Valuation!$B$50</f>
        <v>-141236.325</v>
      </c>
      <c r="D54" s="162">
        <f>-Valuation!$B$50</f>
        <v>-141236.325</v>
      </c>
      <c r="G54" s="166" t="s">
        <v>763</v>
      </c>
    </row>
    <row r="55">
      <c r="A55" s="161" t="s">
        <v>764</v>
      </c>
      <c r="B55" s="185">
        <f t="shared" ref="B55:D55" si="14">SUM(B51:B54)</f>
        <v>2712558.673</v>
      </c>
      <c r="C55" s="185">
        <f t="shared" si="14"/>
        <v>3003752.307</v>
      </c>
      <c r="D55" s="185">
        <f t="shared" si="14"/>
        <v>3453765.454</v>
      </c>
      <c r="G55" s="41"/>
    </row>
    <row r="56">
      <c r="A56" s="161" t="s">
        <v>765</v>
      </c>
      <c r="B56" s="186">
        <f>B55/Valuation!$B$7-1</f>
        <v>-0.3073139241</v>
      </c>
      <c r="C56" s="186">
        <f>C55/Valuation!$B$7-1</f>
        <v>-0.2329539563</v>
      </c>
      <c r="D56" s="186">
        <f>D55/Valuation!$B$7-1</f>
        <v>-0.1180374224</v>
      </c>
      <c r="G56" s="41"/>
    </row>
    <row r="57">
      <c r="A57" s="89" t="s">
        <v>766</v>
      </c>
      <c r="B57" s="162">
        <f>Valuation!$B$48+Valuation!$B$49-Valuation!$B$50</f>
        <v>2661948.477</v>
      </c>
      <c r="C57" s="162">
        <f>Valuation!$B$48+Valuation!$B$49-Valuation!$B$50</f>
        <v>2661948.477</v>
      </c>
      <c r="D57" s="162">
        <f>Valuation!$B$48+Valuation!$B$49-Valuation!$B$50</f>
        <v>2661948.477</v>
      </c>
      <c r="G57" s="166" t="s">
        <v>767</v>
      </c>
    </row>
    <row r="58">
      <c r="A58" s="89" t="s">
        <v>768</v>
      </c>
      <c r="B58" s="158">
        <f t="shared" ref="B58:D58" si="15">B55/B57-1</f>
        <v>0.01901246291</v>
      </c>
      <c r="C58" s="158">
        <f t="shared" si="15"/>
        <v>0.1284036238</v>
      </c>
      <c r="D58" s="158">
        <f t="shared" si="15"/>
        <v>0.2974576647</v>
      </c>
      <c r="G58" s="41"/>
    </row>
    <row r="59">
      <c r="A59" s="89"/>
      <c r="B59" s="178"/>
      <c r="C59" s="178"/>
      <c r="D59" s="178"/>
      <c r="G59" s="166"/>
    </row>
    <row r="60">
      <c r="A60" s="89" t="s">
        <v>769</v>
      </c>
      <c r="B60" s="178">
        <f>((Valuation!$B$7-(B49+B50+B52+B53+B54))/(1-ABS('Historical base'!$F$23)/($D$29+B37))-$D$29*B35)/B37</f>
        <v>77.25643797</v>
      </c>
      <c r="C60" s="178">
        <f>((Valuation!$B$7-(C49+C50+C52+C53+C54))/(1-ABS('Historical base'!$F$23)/($D$29+C37))-$D$29*C35)/C37</f>
        <v>65.69955679</v>
      </c>
      <c r="D60" s="178">
        <f>((Valuation!$B$7-(D49+D50+D52+D53+D54))/(1-ABS('Historical base'!$F$23)/($D$29+D37))-$D$29*D35)/D37</f>
        <v>42.06813611</v>
      </c>
      <c r="G60" s="166" t="s">
        <v>770</v>
      </c>
    </row>
    <row r="61">
      <c r="A61" s="89" t="s">
        <v>771</v>
      </c>
      <c r="B61" s="178">
        <f>((Valuation!$B$7-(B49+B50+B52+B53+B54))/(1-ABS('Historical base'!$F$23)/($D$29+B37))-B37*B36)/$D$29</f>
        <v>24.08304832</v>
      </c>
      <c r="C61" s="178">
        <f>((Valuation!$B$7-(C49+C50+C52+C53+C54))/(1-ABS('Historical base'!$F$23)/($D$29+C37))-C37*C36)/$D$29</f>
        <v>23.5274423</v>
      </c>
      <c r="D61" s="178">
        <f>((Valuation!$B$7-(D49+D50+D52+D53+D54))/(1-ABS('Historical base'!$F$23)/($D$29+D37))-D37*D36)/$D$29</f>
        <v>21.780573</v>
      </c>
      <c r="G61" s="89" t="s">
        <v>772</v>
      </c>
    </row>
    <row r="62">
      <c r="A62" s="187" t="s">
        <v>773</v>
      </c>
      <c r="B62" s="188"/>
      <c r="C62" s="188"/>
      <c r="D62" s="188"/>
      <c r="E62" s="188"/>
      <c r="F62" s="188"/>
      <c r="G62" s="188"/>
    </row>
    <row r="63">
      <c r="A63" s="187" t="s">
        <v>774</v>
      </c>
      <c r="B63" s="188"/>
      <c r="C63" s="188"/>
      <c r="D63" s="188"/>
      <c r="E63" s="188"/>
      <c r="F63" s="188"/>
      <c r="G63" s="188"/>
    </row>
    <row r="64">
      <c r="A64" s="187" t="s">
        <v>775</v>
      </c>
      <c r="B64" s="188"/>
      <c r="C64" s="188"/>
      <c r="D64" s="188"/>
      <c r="E64" s="188"/>
      <c r="F64" s="188"/>
      <c r="G64" s="188"/>
    </row>
    <row r="65">
      <c r="A65" s="188"/>
      <c r="B65" s="188"/>
      <c r="C65" s="188"/>
      <c r="D65" s="188"/>
      <c r="E65" s="188"/>
      <c r="F65" s="188"/>
      <c r="G65" s="188"/>
    </row>
    <row r="66">
      <c r="A66" s="188"/>
      <c r="B66" s="188"/>
      <c r="C66" s="188"/>
      <c r="D66" s="188"/>
      <c r="E66" s="188"/>
      <c r="F66" s="188"/>
      <c r="G66" s="188"/>
    </row>
    <row r="67">
      <c r="A67" s="189" t="s">
        <v>776</v>
      </c>
      <c r="B67" s="189"/>
      <c r="C67" s="189"/>
    </row>
    <row r="68">
      <c r="A68" s="190" t="s">
        <v>777</v>
      </c>
      <c r="B68" s="190" t="s">
        <v>778</v>
      </c>
      <c r="C68" s="190"/>
    </row>
    <row r="69">
      <c r="A69" s="190" t="s">
        <v>779</v>
      </c>
      <c r="B69" s="190" t="s">
        <v>780</v>
      </c>
      <c r="C69" s="190"/>
    </row>
    <row r="70">
      <c r="A70" s="190" t="s">
        <v>781</v>
      </c>
      <c r="B70" s="190">
        <v>9890.0</v>
      </c>
      <c r="C70" s="190" t="s">
        <v>782</v>
      </c>
    </row>
    <row r="71">
      <c r="A71" s="190" t="s">
        <v>783</v>
      </c>
      <c r="B71" s="191">
        <f>C17+B70</f>
        <v>89270</v>
      </c>
      <c r="C71" s="190"/>
    </row>
    <row r="72">
      <c r="A72" s="190" t="s">
        <v>784</v>
      </c>
      <c r="B72" s="192">
        <f>D30+B70</f>
        <v>108067</v>
      </c>
      <c r="C72" s="190"/>
    </row>
    <row r="73">
      <c r="A73" s="190" t="s">
        <v>785</v>
      </c>
      <c r="B73" s="190">
        <v>80922.0</v>
      </c>
      <c r="C73" s="190"/>
    </row>
    <row r="74">
      <c r="A74" s="190" t="s">
        <v>786</v>
      </c>
      <c r="B74" s="190">
        <v>2750.0</v>
      </c>
      <c r="C74" s="190"/>
    </row>
    <row r="75">
      <c r="A75" s="190" t="s">
        <v>787</v>
      </c>
      <c r="B75" s="190">
        <v>11704.0</v>
      </c>
      <c r="C75" s="190" t="s">
        <v>788</v>
      </c>
    </row>
    <row r="76">
      <c r="A76" s="190" t="s">
        <v>789</v>
      </c>
      <c r="B76" s="190">
        <v>12775.0</v>
      </c>
      <c r="C76" s="190" t="s">
        <v>790</v>
      </c>
    </row>
    <row r="77">
      <c r="A77" s="190" t="s">
        <v>791</v>
      </c>
      <c r="B77" s="190">
        <v>116116.0</v>
      </c>
      <c r="C77" s="190"/>
    </row>
    <row r="78">
      <c r="A78" s="190" t="s">
        <v>792</v>
      </c>
      <c r="B78" s="190">
        <f>164501+141073-B77</f>
        <v>189458</v>
      </c>
      <c r="C78" s="190"/>
    </row>
    <row r="79">
      <c r="A79" s="190" t="s">
        <v>793</v>
      </c>
      <c r="B79" s="190" t="s">
        <v>794</v>
      </c>
      <c r="C79" s="190"/>
    </row>
    <row r="80">
      <c r="A80" s="190" t="s">
        <v>795</v>
      </c>
      <c r="B80" s="190">
        <f>C14/B71</f>
        <v>18.37797529</v>
      </c>
      <c r="C80" s="190"/>
    </row>
    <row r="81">
      <c r="A81" s="190" t="s">
        <v>796</v>
      </c>
      <c r="B81" s="190" t="s">
        <v>797</v>
      </c>
      <c r="C81" s="19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63"/>
    <col customWidth="1" min="2" max="4" width="15.13"/>
    <col customWidth="1" min="5" max="5" width="52.63"/>
    <col customWidth="1" min="6" max="6" width="27.63"/>
  </cols>
  <sheetData>
    <row r="1">
      <c r="A1" s="167" t="s">
        <v>798</v>
      </c>
    </row>
    <row r="2" ht="49.5" customHeight="1">
      <c r="A2" s="193" t="s">
        <v>799</v>
      </c>
    </row>
    <row r="4">
      <c r="A4" s="194" t="s">
        <v>800</v>
      </c>
      <c r="B4" s="194" t="s">
        <v>135</v>
      </c>
      <c r="C4" s="194" t="s">
        <v>128</v>
      </c>
      <c r="D4" s="194" t="s">
        <v>134</v>
      </c>
      <c r="E4" s="194" t="s">
        <v>801</v>
      </c>
      <c r="F4" s="194" t="s">
        <v>6</v>
      </c>
    </row>
    <row r="5">
      <c r="A5" s="193" t="s">
        <v>802</v>
      </c>
      <c r="B5" s="193" t="s">
        <v>803</v>
      </c>
      <c r="C5" s="193" t="s">
        <v>804</v>
      </c>
      <c r="D5" s="193" t="s">
        <v>805</v>
      </c>
      <c r="E5" s="193" t="s">
        <v>806</v>
      </c>
      <c r="F5" s="193" t="s">
        <v>807</v>
      </c>
    </row>
    <row r="6">
      <c r="A6" s="193" t="s">
        <v>808</v>
      </c>
      <c r="B6" s="193" t="s">
        <v>809</v>
      </c>
      <c r="C6" s="193" t="s">
        <v>810</v>
      </c>
      <c r="D6" s="193" t="s">
        <v>811</v>
      </c>
      <c r="E6" s="193" t="s">
        <v>812</v>
      </c>
      <c r="F6" s="193" t="s">
        <v>807</v>
      </c>
    </row>
    <row r="7">
      <c r="A7" s="193" t="s">
        <v>813</v>
      </c>
      <c r="B7" s="193" t="s">
        <v>814</v>
      </c>
      <c r="C7" s="193" t="s">
        <v>815</v>
      </c>
      <c r="D7" s="193" t="s">
        <v>816</v>
      </c>
      <c r="E7" s="193" t="s">
        <v>817</v>
      </c>
      <c r="F7" s="193" t="s">
        <v>807</v>
      </c>
    </row>
    <row r="8">
      <c r="A8" s="193" t="s">
        <v>818</v>
      </c>
      <c r="B8" s="193" t="s">
        <v>819</v>
      </c>
      <c r="C8" s="193" t="s">
        <v>820</v>
      </c>
      <c r="D8" s="193" t="s">
        <v>821</v>
      </c>
      <c r="E8" s="193" t="s">
        <v>822</v>
      </c>
      <c r="F8" s="193" t="s">
        <v>807</v>
      </c>
    </row>
    <row r="9">
      <c r="A9" s="193" t="s">
        <v>823</v>
      </c>
      <c r="B9" s="193" t="s">
        <v>824</v>
      </c>
      <c r="C9" s="193" t="s">
        <v>825</v>
      </c>
      <c r="D9" s="193" t="s">
        <v>826</v>
      </c>
      <c r="E9" s="193" t="s">
        <v>827</v>
      </c>
      <c r="F9" s="193" t="s">
        <v>828</v>
      </c>
    </row>
    <row r="10">
      <c r="A10" s="193" t="s">
        <v>829</v>
      </c>
      <c r="B10" s="193" t="s">
        <v>830</v>
      </c>
      <c r="C10" s="193" t="s">
        <v>831</v>
      </c>
      <c r="D10" s="193" t="s">
        <v>832</v>
      </c>
      <c r="E10" s="193" t="s">
        <v>833</v>
      </c>
      <c r="F10" s="193" t="s">
        <v>834</v>
      </c>
    </row>
    <row r="11">
      <c r="A11" s="193" t="s">
        <v>835</v>
      </c>
      <c r="B11" s="193" t="s">
        <v>836</v>
      </c>
      <c r="C11" s="193" t="s">
        <v>837</v>
      </c>
      <c r="D11" s="193" t="s">
        <v>838</v>
      </c>
      <c r="E11" s="193" t="s">
        <v>839</v>
      </c>
      <c r="F11" s="193" t="s">
        <v>840</v>
      </c>
    </row>
    <row r="12">
      <c r="A12" s="193" t="s">
        <v>841</v>
      </c>
      <c r="B12" s="195">
        <v>0.4</v>
      </c>
      <c r="C12" s="195">
        <v>0.6</v>
      </c>
      <c r="D12" s="195">
        <v>0.8</v>
      </c>
      <c r="E12" s="193" t="s">
        <v>842</v>
      </c>
      <c r="F12" s="193" t="s">
        <v>843</v>
      </c>
    </row>
    <row r="13">
      <c r="A13" s="193" t="s">
        <v>844</v>
      </c>
      <c r="B13" s="193" t="s">
        <v>845</v>
      </c>
      <c r="C13" s="193" t="s">
        <v>846</v>
      </c>
      <c r="D13" s="193" t="s">
        <v>847</v>
      </c>
      <c r="E13" s="193" t="s">
        <v>848</v>
      </c>
      <c r="F13" s="193" t="s">
        <v>849</v>
      </c>
    </row>
    <row r="14">
      <c r="A14" s="193" t="s">
        <v>850</v>
      </c>
      <c r="B14" s="196" t="s">
        <v>851</v>
      </c>
      <c r="C14" s="193">
        <v>0.0</v>
      </c>
      <c r="D14" s="196" t="s">
        <v>852</v>
      </c>
      <c r="E14" s="193" t="s">
        <v>853</v>
      </c>
      <c r="F14" s="193" t="s">
        <v>854</v>
      </c>
    </row>
    <row r="15">
      <c r="A15" s="193" t="s">
        <v>855</v>
      </c>
      <c r="B15" s="195">
        <v>0.08</v>
      </c>
      <c r="C15" s="195">
        <v>0.15</v>
      </c>
      <c r="D15" s="195">
        <v>0.25</v>
      </c>
      <c r="E15" s="193" t="s">
        <v>856</v>
      </c>
      <c r="F15" s="193" t="s">
        <v>854</v>
      </c>
    </row>
    <row r="16">
      <c r="A16" s="193" t="s">
        <v>857</v>
      </c>
      <c r="B16" s="195">
        <v>0.2</v>
      </c>
      <c r="C16" s="195">
        <v>0.12</v>
      </c>
      <c r="D16" s="195">
        <v>0.15</v>
      </c>
      <c r="E16" s="193" t="s">
        <v>858</v>
      </c>
      <c r="F16" s="193" t="s">
        <v>854</v>
      </c>
    </row>
    <row r="17">
      <c r="A17" s="193" t="s">
        <v>859</v>
      </c>
      <c r="B17" s="193" t="s">
        <v>860</v>
      </c>
      <c r="C17" s="193" t="s">
        <v>861</v>
      </c>
      <c r="D17" s="193" t="s">
        <v>862</v>
      </c>
      <c r="E17" s="193" t="s">
        <v>863</v>
      </c>
      <c r="F17" s="193" t="s">
        <v>807</v>
      </c>
    </row>
    <row r="18">
      <c r="A18" s="193" t="s">
        <v>864</v>
      </c>
      <c r="B18" s="193" t="s">
        <v>865</v>
      </c>
      <c r="C18" s="193" t="s">
        <v>866</v>
      </c>
      <c r="D18" s="193" t="s">
        <v>867</v>
      </c>
      <c r="E18" s="193" t="s">
        <v>868</v>
      </c>
      <c r="F18" s="193" t="s">
        <v>854</v>
      </c>
    </row>
    <row r="19">
      <c r="A19" s="193" t="s">
        <v>869</v>
      </c>
      <c r="B19" s="193" t="s">
        <v>870</v>
      </c>
      <c r="C19" s="193" t="s">
        <v>871</v>
      </c>
      <c r="D19" s="193" t="s">
        <v>872</v>
      </c>
      <c r="E19" s="193" t="s">
        <v>873</v>
      </c>
      <c r="F19" s="193" t="s">
        <v>854</v>
      </c>
    </row>
    <row r="20">
      <c r="A20" s="193" t="s">
        <v>874</v>
      </c>
      <c r="B20" s="197">
        <f>Assumptions!B195</f>
        <v>1.1</v>
      </c>
      <c r="C20" s="195">
        <f>Assumptions!B193</f>
        <v>1</v>
      </c>
      <c r="D20" s="195">
        <f>Assumptions!B194</f>
        <v>0.9</v>
      </c>
      <c r="E20" s="193" t="s">
        <v>875</v>
      </c>
      <c r="F20" s="193" t="s">
        <v>876</v>
      </c>
    </row>
    <row r="21">
      <c r="A21" s="193" t="s">
        <v>35</v>
      </c>
      <c r="B21" s="198">
        <f>Assumptions!B200</f>
        <v>0.015</v>
      </c>
      <c r="C21" s="198">
        <v>0.03</v>
      </c>
      <c r="D21" s="198">
        <v>0.035</v>
      </c>
      <c r="E21" s="193" t="str">
        <f>"Below the "&amp;TEXT('Discount rate'!B8,"0.00%")&amp;" Treasury yield"</f>
        <v>Below the 5.00% Treasury yield</v>
      </c>
      <c r="F21" s="193" t="s">
        <v>877</v>
      </c>
    </row>
    <row r="22">
      <c r="A22" s="199"/>
      <c r="B22" s="199"/>
      <c r="C22" s="199"/>
      <c r="D22" s="199"/>
      <c r="E22" s="199"/>
      <c r="F22" s="199"/>
    </row>
    <row r="23">
      <c r="A23" s="194" t="s">
        <v>878</v>
      </c>
      <c r="B23" s="194" t="s">
        <v>879</v>
      </c>
      <c r="C23" s="200"/>
      <c r="D23" s="200"/>
      <c r="E23" s="194" t="s">
        <v>880</v>
      </c>
      <c r="F23" s="194" t="s">
        <v>6</v>
      </c>
    </row>
    <row r="24">
      <c r="A24" s="193" t="s">
        <v>881</v>
      </c>
      <c r="B24" s="201">
        <v>0.5</v>
      </c>
      <c r="C24" s="199"/>
      <c r="D24" s="199"/>
      <c r="E24" s="193" t="s">
        <v>882</v>
      </c>
      <c r="F24" s="193" t="s">
        <v>854</v>
      </c>
    </row>
    <row r="25">
      <c r="A25" s="193" t="s">
        <v>883</v>
      </c>
      <c r="B25" s="201">
        <v>0.4</v>
      </c>
      <c r="C25" s="199"/>
      <c r="D25" s="199"/>
      <c r="E25" s="193" t="s">
        <v>884</v>
      </c>
      <c r="F25" s="193" t="s">
        <v>854</v>
      </c>
    </row>
    <row r="26">
      <c r="A26" s="193" t="s">
        <v>885</v>
      </c>
      <c r="B26" s="201">
        <v>0.4</v>
      </c>
      <c r="C26" s="199"/>
      <c r="D26" s="199"/>
      <c r="E26" s="193" t="s">
        <v>886</v>
      </c>
      <c r="F26" s="193" t="s">
        <v>854</v>
      </c>
    </row>
    <row r="27">
      <c r="A27" s="193" t="s">
        <v>887</v>
      </c>
      <c r="B27" s="201">
        <v>0.3</v>
      </c>
      <c r="C27" s="199"/>
      <c r="D27" s="199"/>
      <c r="E27" s="193" t="s">
        <v>888</v>
      </c>
      <c r="F27" s="193" t="s">
        <v>854</v>
      </c>
    </row>
    <row r="28">
      <c r="A28" s="193" t="s">
        <v>889</v>
      </c>
      <c r="B28" s="201">
        <v>0.4</v>
      </c>
      <c r="C28" s="199"/>
      <c r="D28" s="199"/>
      <c r="E28" s="193" t="s">
        <v>890</v>
      </c>
      <c r="F28" s="193" t="s">
        <v>854</v>
      </c>
    </row>
    <row r="29">
      <c r="A29" s="193" t="s">
        <v>891</v>
      </c>
      <c r="B29" s="201">
        <v>0.4</v>
      </c>
      <c r="C29" s="199"/>
      <c r="D29" s="199"/>
      <c r="E29" s="193" t="s">
        <v>892</v>
      </c>
      <c r="F29" s="193" t="s">
        <v>854</v>
      </c>
    </row>
    <row r="30">
      <c r="A30" s="193" t="s">
        <v>893</v>
      </c>
      <c r="B30" s="201">
        <v>0.3</v>
      </c>
      <c r="C30" s="199"/>
      <c r="D30" s="199"/>
      <c r="E30" s="193" t="s">
        <v>894</v>
      </c>
      <c r="F30" s="193" t="s">
        <v>854</v>
      </c>
    </row>
    <row r="31">
      <c r="A31" s="193" t="s">
        <v>895</v>
      </c>
      <c r="B31" s="201">
        <v>0.3</v>
      </c>
      <c r="C31" s="199"/>
      <c r="D31" s="199"/>
      <c r="E31" s="193" t="s">
        <v>896</v>
      </c>
      <c r="F31" s="193" t="s">
        <v>854</v>
      </c>
    </row>
    <row r="32">
      <c r="A32" s="193" t="s">
        <v>897</v>
      </c>
      <c r="B32" s="201">
        <v>0.3</v>
      </c>
      <c r="C32" s="199"/>
      <c r="D32" s="199"/>
      <c r="E32" s="193" t="s">
        <v>898</v>
      </c>
      <c r="F32" s="193" t="s">
        <v>854</v>
      </c>
    </row>
    <row r="33">
      <c r="A33" s="193" t="s">
        <v>899</v>
      </c>
      <c r="B33" s="201">
        <v>0.3</v>
      </c>
      <c r="C33" s="199"/>
      <c r="D33" s="199"/>
      <c r="E33" s="193" t="s">
        <v>900</v>
      </c>
      <c r="F33" s="193" t="s">
        <v>854</v>
      </c>
    </row>
    <row r="34">
      <c r="A34" s="199"/>
      <c r="B34" s="199"/>
      <c r="C34" s="199"/>
      <c r="D34" s="199"/>
      <c r="E34" s="199"/>
      <c r="F34" s="199"/>
    </row>
    <row r="35">
      <c r="A35" s="194" t="s">
        <v>901</v>
      </c>
      <c r="B35" s="194" t="s">
        <v>902</v>
      </c>
      <c r="C35" s="194" t="s">
        <v>903</v>
      </c>
      <c r="D35" s="194" t="s">
        <v>904</v>
      </c>
      <c r="E35" s="194" t="s">
        <v>905</v>
      </c>
      <c r="F35" s="194" t="s">
        <v>906</v>
      </c>
    </row>
    <row r="36">
      <c r="A36" s="193" t="s">
        <v>907</v>
      </c>
      <c r="B36" s="202">
        <v>1.9936831494846616</v>
      </c>
      <c r="C36" s="202">
        <v>2.3612860909975573</v>
      </c>
      <c r="D36" s="202">
        <v>2.7593149586877033</v>
      </c>
      <c r="E36" s="203">
        <v>0.0</v>
      </c>
      <c r="F36" s="202">
        <v>3.625903421919032</v>
      </c>
    </row>
    <row r="37">
      <c r="A37" s="193" t="s">
        <v>908</v>
      </c>
      <c r="B37" s="202">
        <v>2.0466441003485527</v>
      </c>
      <c r="C37" s="202">
        <v>2.3556738465725537</v>
      </c>
      <c r="D37" s="202">
        <v>2.6862609992119064</v>
      </c>
      <c r="E37" s="203">
        <v>0.0</v>
      </c>
      <c r="F37" s="202">
        <v>3.4724026785320463</v>
      </c>
    </row>
    <row r="38">
      <c r="A38" s="193" t="s">
        <v>909</v>
      </c>
      <c r="B38" s="202">
        <v>1.9801640409720556</v>
      </c>
      <c r="C38" s="202">
        <v>2.362549578002965</v>
      </c>
      <c r="D38" s="202">
        <v>2.781495068652773</v>
      </c>
      <c r="E38" s="203">
        <v>0.0</v>
      </c>
      <c r="F38" s="202">
        <v>3.625591903579627</v>
      </c>
    </row>
    <row r="39">
      <c r="A39" s="193" t="s">
        <v>910</v>
      </c>
      <c r="B39" s="202">
        <v>1.9416200677307642</v>
      </c>
      <c r="C39" s="202">
        <v>2.3601891006099414</v>
      </c>
      <c r="D39" s="202">
        <v>2.8401092357201874</v>
      </c>
      <c r="E39" s="203">
        <v>2.0</v>
      </c>
      <c r="F39" s="202">
        <v>3.8636209387627</v>
      </c>
    </row>
    <row r="40">
      <c r="A40" s="193" t="s">
        <v>911</v>
      </c>
      <c r="B40" s="202">
        <v>1.8369759400658174</v>
      </c>
      <c r="C40" s="202">
        <v>2.355691197749018</v>
      </c>
      <c r="D40" s="202">
        <v>3.0693222197502994</v>
      </c>
      <c r="E40" s="203">
        <v>104.0</v>
      </c>
      <c r="F40" s="202">
        <v>4.634156780477018</v>
      </c>
    </row>
    <row r="41" ht="36.0" customHeight="1">
      <c r="A41" s="193" t="s">
        <v>912</v>
      </c>
    </row>
    <row r="42" ht="24.0" customHeight="1">
      <c r="A42" s="193" t="s">
        <v>913</v>
      </c>
    </row>
    <row r="43" ht="31.5" customHeight="1">
      <c r="A43" s="193" t="s">
        <v>914</v>
      </c>
      <c r="B43" s="202">
        <v>1.7948170089271067</v>
      </c>
      <c r="C43" s="202">
        <v>2.2885559242624556</v>
      </c>
      <c r="D43" s="202">
        <v>2.8564403633609254</v>
      </c>
      <c r="E43" s="203">
        <v>2.0</v>
      </c>
      <c r="F43" s="202">
        <v>3.9964550813345086</v>
      </c>
    </row>
    <row r="45" ht="28.5" customHeight="1">
      <c r="A45" s="204" t="s">
        <v>915</v>
      </c>
      <c r="B45" s="204" t="s">
        <v>124</v>
      </c>
      <c r="C45" s="204" t="s">
        <v>916</v>
      </c>
      <c r="D45" s="204" t="s">
        <v>917</v>
      </c>
    </row>
    <row r="46" ht="18.0" customHeight="1">
      <c r="A46" s="205" t="s">
        <v>135</v>
      </c>
      <c r="B46" s="206">
        <v>836.7230139596495</v>
      </c>
      <c r="C46" s="207">
        <v>-0.020138471310228383</v>
      </c>
      <c r="D46" s="207">
        <v>0.12464429797968096</v>
      </c>
    </row>
    <row r="47" ht="18.0" customHeight="1">
      <c r="A47" s="205" t="s">
        <v>128</v>
      </c>
      <c r="B47" s="206">
        <v>2495.9183293073233</v>
      </c>
      <c r="C47" s="207">
        <v>0.16994732470289384</v>
      </c>
      <c r="D47" s="207">
        <v>0.22884667175464735</v>
      </c>
    </row>
    <row r="48" ht="18.0" customHeight="1">
      <c r="A48" s="205" t="s">
        <v>134</v>
      </c>
      <c r="B48" s="206">
        <v>4450.328488842511</v>
      </c>
      <c r="C48" s="207">
        <v>0.19338557563447592</v>
      </c>
      <c r="D48" s="207">
        <v>0.3210133229354656</v>
      </c>
    </row>
    <row r="49" ht="36.0" customHeight="1">
      <c r="A49" s="205" t="s">
        <v>918</v>
      </c>
    </row>
    <row r="51" ht="19.5" customHeight="1">
      <c r="A51" s="204" t="s">
        <v>919</v>
      </c>
    </row>
    <row r="52" ht="48.0" customHeight="1">
      <c r="A52" s="205" t="s">
        <v>920</v>
      </c>
    </row>
    <row r="53" ht="48.0" customHeight="1">
      <c r="A53" s="205" t="s">
        <v>921</v>
      </c>
    </row>
    <row r="54" ht="60.0" customHeight="1">
      <c r="A54" s="205" t="s">
        <v>922</v>
      </c>
    </row>
    <row r="55" ht="36.0" customHeight="1">
      <c r="A55" s="205" t="s">
        <v>923</v>
      </c>
    </row>
  </sheetData>
  <mergeCells count="9">
    <mergeCell ref="A54:F54"/>
    <mergeCell ref="A55:F55"/>
    <mergeCell ref="A2:F2"/>
    <mergeCell ref="A41:F41"/>
    <mergeCell ref="A42:F42"/>
    <mergeCell ref="A49:F49"/>
    <mergeCell ref="A51:F51"/>
    <mergeCell ref="A52:F52"/>
    <mergeCell ref="A53:F5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 customWidth="1" min="9" max="9" width="50.13"/>
  </cols>
  <sheetData>
    <row r="1" ht="28.5" customHeight="1">
      <c r="A1" s="208" t="s">
        <v>924</v>
      </c>
    </row>
    <row r="2" ht="39.0" customHeight="1">
      <c r="A2" s="96" t="s">
        <v>925</v>
      </c>
    </row>
    <row r="3" ht="24.0" customHeight="1">
      <c r="A3" s="96" t="s">
        <v>926</v>
      </c>
      <c r="B3" s="96" t="str">
        <f>Assumptions!B3</f>
        <v>Base</v>
      </c>
      <c r="C3" s="96"/>
      <c r="D3" s="96"/>
      <c r="E3" s="96"/>
      <c r="F3" s="96"/>
      <c r="G3" s="96"/>
      <c r="H3" s="96"/>
      <c r="I3" s="96"/>
    </row>
    <row r="4" ht="24.0" customHeight="1">
      <c r="A4" s="96" t="s">
        <v>3</v>
      </c>
      <c r="B4" s="97">
        <f>Assumptions!B4</f>
        <v>46320</v>
      </c>
      <c r="C4" s="96"/>
      <c r="D4" s="96"/>
      <c r="E4" s="96"/>
      <c r="F4" s="96"/>
      <c r="G4" s="96"/>
      <c r="H4" s="96"/>
      <c r="I4" s="96"/>
    </row>
    <row r="5" ht="24.0" customHeight="1">
      <c r="A5" s="96"/>
      <c r="B5" s="96"/>
      <c r="C5" s="96"/>
      <c r="D5" s="96"/>
      <c r="E5" s="96"/>
      <c r="F5" s="96"/>
      <c r="G5" s="96"/>
      <c r="H5" s="96"/>
      <c r="I5" s="96"/>
    </row>
    <row r="6" ht="45.0" customHeight="1">
      <c r="A6" s="102" t="s">
        <v>927</v>
      </c>
      <c r="B6" s="209" t="s">
        <v>928</v>
      </c>
      <c r="C6" s="102" t="s">
        <v>929</v>
      </c>
      <c r="D6" s="102" t="s">
        <v>930</v>
      </c>
      <c r="E6" s="102" t="s">
        <v>931</v>
      </c>
      <c r="F6" s="102" t="s">
        <v>932</v>
      </c>
      <c r="G6" s="102" t="s">
        <v>933</v>
      </c>
      <c r="H6" s="102" t="s">
        <v>934</v>
      </c>
      <c r="I6" s="102" t="s">
        <v>935</v>
      </c>
    </row>
    <row r="7" ht="66.0" customHeight="1">
      <c r="A7" s="96" t="s">
        <v>936</v>
      </c>
      <c r="B7" s="101">
        <v>99500.0</v>
      </c>
      <c r="C7" s="110">
        <f>B7</f>
        <v>99500</v>
      </c>
      <c r="D7" s="210">
        <f>Assumptions!$B$5</f>
        <v>0.21</v>
      </c>
      <c r="E7" s="210">
        <v>0.0</v>
      </c>
      <c r="F7" s="101">
        <f t="shared" ref="F7:F12" si="1">B7*(1-E7)</f>
        <v>99500</v>
      </c>
      <c r="G7" s="101">
        <f t="shared" ref="G7:G12" si="2">IF(ISNUMBER(C7),MAX(F7-C7,0)*D7,"")</f>
        <v>0</v>
      </c>
      <c r="H7" s="101">
        <f t="shared" ref="H7:H12" si="3">IF(ISNUMBER(G7),F7-G7,"")</f>
        <v>99500</v>
      </c>
      <c r="I7" s="96" t="s">
        <v>937</v>
      </c>
    </row>
    <row r="8" ht="66.0" customHeight="1">
      <c r="A8" s="96" t="s">
        <v>938</v>
      </c>
      <c r="B8" s="101">
        <f>80000*$B$69</f>
        <v>69057.70807</v>
      </c>
      <c r="C8" s="211">
        <v>0.0</v>
      </c>
      <c r="D8" s="210">
        <f>Assumptions!$B$5</f>
        <v>0.21</v>
      </c>
      <c r="E8" s="210">
        <v>0.0</v>
      </c>
      <c r="F8" s="101">
        <f t="shared" si="1"/>
        <v>69057.70807</v>
      </c>
      <c r="G8" s="101">
        <f t="shared" si="2"/>
        <v>14502.11869</v>
      </c>
      <c r="H8" s="101">
        <f t="shared" si="3"/>
        <v>54555.58937</v>
      </c>
      <c r="I8" s="96" t="s">
        <v>939</v>
      </c>
    </row>
    <row r="9" ht="66.0" customHeight="1">
      <c r="A9" s="96" t="s">
        <v>940</v>
      </c>
      <c r="B9" s="101">
        <v>7063.0</v>
      </c>
      <c r="C9" s="110">
        <f>B9</f>
        <v>7063</v>
      </c>
      <c r="D9" s="210">
        <f>Assumptions!$B$5</f>
        <v>0.21</v>
      </c>
      <c r="E9" s="210">
        <v>0.0</v>
      </c>
      <c r="F9" s="101">
        <f t="shared" si="1"/>
        <v>7063</v>
      </c>
      <c r="G9" s="101">
        <f t="shared" si="2"/>
        <v>0</v>
      </c>
      <c r="H9" s="101">
        <f t="shared" si="3"/>
        <v>7063</v>
      </c>
      <c r="I9" s="96" t="s">
        <v>941</v>
      </c>
    </row>
    <row r="10" ht="66.0" customHeight="1">
      <c r="A10" s="96" t="s">
        <v>942</v>
      </c>
      <c r="B10" s="101">
        <f>14126*$B$69</f>
        <v>12193.8648</v>
      </c>
      <c r="C10" s="211">
        <v>0.0</v>
      </c>
      <c r="D10" s="210">
        <f>Assumptions!$B$5</f>
        <v>0.21</v>
      </c>
      <c r="E10" s="210">
        <v>0.0</v>
      </c>
      <c r="F10" s="101">
        <f t="shared" si="1"/>
        <v>12193.8648</v>
      </c>
      <c r="G10" s="101">
        <f t="shared" si="2"/>
        <v>2560.711608</v>
      </c>
      <c r="H10" s="101">
        <f t="shared" si="3"/>
        <v>9633.153193</v>
      </c>
      <c r="I10" s="96" t="s">
        <v>943</v>
      </c>
    </row>
    <row r="11" ht="66.0" customHeight="1">
      <c r="A11" s="96" t="s">
        <v>944</v>
      </c>
      <c r="B11" s="101">
        <v>124259.0</v>
      </c>
      <c r="C11" s="110">
        <v>47642.0</v>
      </c>
      <c r="D11" s="210">
        <f>Assumptions!$B$5</f>
        <v>0.21</v>
      </c>
      <c r="E11" s="210">
        <f>Assumptions!B202</f>
        <v>0.05</v>
      </c>
      <c r="F11" s="101">
        <f t="shared" si="1"/>
        <v>118046.05</v>
      </c>
      <c r="G11" s="101">
        <f t="shared" si="2"/>
        <v>14784.8505</v>
      </c>
      <c r="H11" s="101">
        <f t="shared" si="3"/>
        <v>103261.1995</v>
      </c>
      <c r="I11" s="96" t="s">
        <v>945</v>
      </c>
    </row>
    <row r="12" ht="66.0" customHeight="1">
      <c r="A12" s="96" t="s">
        <v>946</v>
      </c>
      <c r="B12" s="101">
        <v>7202.0</v>
      </c>
      <c r="C12" s="110">
        <f>B12</f>
        <v>7202</v>
      </c>
      <c r="D12" s="210">
        <f>Assumptions!$B$5</f>
        <v>0.21</v>
      </c>
      <c r="E12" s="210">
        <v>0.0</v>
      </c>
      <c r="F12" s="101">
        <f t="shared" si="1"/>
        <v>7202</v>
      </c>
      <c r="G12" s="101">
        <f t="shared" si="2"/>
        <v>0</v>
      </c>
      <c r="H12" s="101">
        <f t="shared" si="3"/>
        <v>7202</v>
      </c>
      <c r="I12" s="96" t="s">
        <v>947</v>
      </c>
    </row>
    <row r="13" ht="24.0" customHeight="1">
      <c r="A13" s="96"/>
      <c r="B13" s="101"/>
      <c r="C13" s="101"/>
      <c r="D13" s="101"/>
      <c r="E13" s="101"/>
      <c r="F13" s="101"/>
      <c r="G13" s="101"/>
      <c r="H13" s="101"/>
      <c r="I13" s="96"/>
    </row>
    <row r="14" ht="52.5" customHeight="1">
      <c r="A14" s="105" t="s">
        <v>948</v>
      </c>
      <c r="B14" s="108">
        <f>SUM(B7:B12)</f>
        <v>319275.5729</v>
      </c>
      <c r="C14" s="108"/>
      <c r="D14" s="108"/>
      <c r="E14" s="108"/>
      <c r="F14" s="108">
        <f>SUM(F7:F12)</f>
        <v>313062.6229</v>
      </c>
      <c r="G14" s="108">
        <f t="shared" ref="G14:H14" si="4">IF(COUNT(G7:G12)=6,SUM(G7:G12),"")</f>
        <v>31847.6808</v>
      </c>
      <c r="H14" s="108">
        <f t="shared" si="4"/>
        <v>281214.9421</v>
      </c>
      <c r="I14" s="96" t="s">
        <v>949</v>
      </c>
    </row>
    <row r="15" ht="24.0" customHeight="1">
      <c r="A15" s="96"/>
      <c r="B15" s="101"/>
      <c r="C15" s="96"/>
      <c r="D15" s="96"/>
      <c r="E15" s="96"/>
      <c r="F15" s="96"/>
      <c r="G15" s="96"/>
      <c r="H15" s="96"/>
      <c r="I15" s="96"/>
    </row>
    <row r="16" ht="24.0" customHeight="1">
      <c r="A16" s="47" t="s">
        <v>950</v>
      </c>
      <c r="B16" s="47" t="s">
        <v>934</v>
      </c>
      <c r="C16" s="47" t="s">
        <v>951</v>
      </c>
      <c r="D16" s="47"/>
      <c r="E16" s="47"/>
      <c r="F16" s="47"/>
      <c r="G16" s="47"/>
      <c r="H16" s="47"/>
      <c r="I16" s="47"/>
    </row>
    <row r="17" ht="31.5" customHeight="1">
      <c r="A17" s="96" t="s">
        <v>952</v>
      </c>
      <c r="B17" s="101">
        <f>SUM(F7:F12)</f>
        <v>313062.6229</v>
      </c>
      <c r="C17" s="96" t="s">
        <v>953</v>
      </c>
    </row>
    <row r="18" ht="31.5" customHeight="1">
      <c r="A18" s="96" t="s">
        <v>954</v>
      </c>
      <c r="B18" s="101">
        <f>SUMPRODUCT(F7:F12,1-D7:D12)</f>
        <v>247319.4721</v>
      </c>
      <c r="C18" s="96" t="s">
        <v>955</v>
      </c>
    </row>
    <row r="19" ht="24.0" customHeight="1">
      <c r="A19" s="96"/>
      <c r="B19" s="101"/>
      <c r="C19" s="96"/>
      <c r="D19" s="96"/>
      <c r="E19" s="96"/>
      <c r="F19" s="96"/>
      <c r="G19" s="96"/>
      <c r="H19" s="96"/>
      <c r="I19" s="96"/>
    </row>
    <row r="20" ht="24.0" customHeight="1">
      <c r="A20" s="47" t="s">
        <v>956</v>
      </c>
      <c r="B20" s="47" t="s">
        <v>85</v>
      </c>
      <c r="C20" s="47" t="s">
        <v>951</v>
      </c>
      <c r="D20" s="47"/>
      <c r="E20" s="47"/>
      <c r="F20" s="47"/>
      <c r="G20" s="47"/>
      <c r="H20" s="47"/>
      <c r="I20" s="47"/>
    </row>
    <row r="21" ht="31.5" customHeight="1">
      <c r="A21" s="96" t="s">
        <v>957</v>
      </c>
      <c r="B21" s="101">
        <f>120243-3789</f>
        <v>116454</v>
      </c>
      <c r="C21" s="96" t="s">
        <v>958</v>
      </c>
    </row>
    <row r="22" ht="31.5" customHeight="1">
      <c r="A22" s="96" t="s">
        <v>959</v>
      </c>
      <c r="B22" s="101">
        <f>120098-3789</f>
        <v>116309</v>
      </c>
      <c r="C22" s="96" t="s">
        <v>960</v>
      </c>
    </row>
    <row r="23" ht="31.5" customHeight="1">
      <c r="A23" s="96" t="s">
        <v>961</v>
      </c>
      <c r="B23" s="101">
        <f>B22-B21</f>
        <v>-145</v>
      </c>
      <c r="C23" s="96" t="s">
        <v>962</v>
      </c>
    </row>
    <row r="24" ht="24.0" customHeight="1">
      <c r="A24" s="96"/>
      <c r="B24" s="101"/>
      <c r="C24" s="96"/>
      <c r="D24" s="96"/>
      <c r="E24" s="96"/>
      <c r="F24" s="96"/>
      <c r="G24" s="96"/>
      <c r="H24" s="96"/>
      <c r="I24" s="96"/>
    </row>
    <row r="25" ht="24.0" customHeight="1">
      <c r="A25" s="96"/>
      <c r="B25" s="101"/>
      <c r="C25" s="96"/>
      <c r="D25" s="96"/>
      <c r="E25" s="96"/>
      <c r="F25" s="96"/>
      <c r="G25" s="96"/>
      <c r="H25" s="96"/>
      <c r="I25" s="96"/>
    </row>
    <row r="26" ht="24.0" customHeight="1">
      <c r="A26" s="212" t="s">
        <v>963</v>
      </c>
      <c r="B26" s="47" t="s">
        <v>85</v>
      </c>
      <c r="C26" s="47" t="s">
        <v>964</v>
      </c>
      <c r="D26" s="47"/>
      <c r="E26" s="47"/>
      <c r="F26" s="47"/>
      <c r="G26" s="47"/>
      <c r="H26" s="47"/>
      <c r="I26" s="47"/>
    </row>
    <row r="27" ht="31.5" customHeight="1">
      <c r="A27" s="96" t="s">
        <v>965</v>
      </c>
      <c r="B27" s="101">
        <f>'Balance sheet'!I8</f>
        <v>55911</v>
      </c>
      <c r="C27" s="96" t="s">
        <v>966</v>
      </c>
    </row>
    <row r="28" ht="31.5" customHeight="1">
      <c r="A28" s="96" t="s">
        <v>967</v>
      </c>
      <c r="B28" s="101">
        <f>-'Sources and basis'!C87</f>
        <v>-5200</v>
      </c>
      <c r="C28" s="96" t="s">
        <v>968</v>
      </c>
    </row>
    <row r="29" ht="31.5" customHeight="1">
      <c r="A29" s="95" t="s">
        <v>969</v>
      </c>
      <c r="B29" s="110">
        <f>Valuation!B37-Valuation!B38</f>
        <v>-17815.26242</v>
      </c>
      <c r="C29" s="111" t="s">
        <v>970</v>
      </c>
    </row>
    <row r="30" ht="31.5" customHeight="1">
      <c r="A30" s="96" t="s">
        <v>971</v>
      </c>
      <c r="B30" s="210">
        <v>0.02</v>
      </c>
      <c r="C30" s="96" t="s">
        <v>972</v>
      </c>
    </row>
    <row r="31" ht="31.5" customHeight="1">
      <c r="A31" s="96" t="s">
        <v>505</v>
      </c>
      <c r="B31" s="101">
        <f>B30*'Historical base'!F16</f>
        <v>8917.32</v>
      </c>
      <c r="C31" s="96" t="s">
        <v>973</v>
      </c>
    </row>
    <row r="32" ht="31.5" customHeight="1">
      <c r="A32" s="105" t="s">
        <v>974</v>
      </c>
      <c r="B32" s="108">
        <f>MAX(B27+B28-B31,0)</f>
        <v>41793.68</v>
      </c>
      <c r="C32" s="213" t="s">
        <v>975</v>
      </c>
    </row>
    <row r="33" ht="31.5" customHeight="1">
      <c r="A33" s="105" t="s">
        <v>976</v>
      </c>
      <c r="B33" s="108">
        <f>MAX(B27+B28+B29+B70-B71-B72+B73-B31,0)</f>
        <v>26051.53008</v>
      </c>
      <c r="C33" s="213" t="s">
        <v>977</v>
      </c>
    </row>
    <row r="34" ht="24.0" customHeight="1">
      <c r="A34" s="96"/>
      <c r="B34" s="101"/>
      <c r="C34" s="96"/>
      <c r="D34" s="96"/>
      <c r="E34" s="96"/>
      <c r="F34" s="96"/>
      <c r="G34" s="96"/>
      <c r="H34" s="96"/>
      <c r="I34" s="96"/>
    </row>
    <row r="35" ht="31.5" customHeight="1">
      <c r="A35" s="96" t="s">
        <v>978</v>
      </c>
      <c r="B35" s="101">
        <f>'Sources and basis'!C85</f>
        <v>17356</v>
      </c>
      <c r="C35" s="96" t="s">
        <v>979</v>
      </c>
    </row>
    <row r="36" ht="31.5" customHeight="1">
      <c r="A36" s="96" t="s">
        <v>980</v>
      </c>
      <c r="B36" s="101">
        <f>'Sources and basis'!C87</f>
        <v>5200</v>
      </c>
      <c r="C36" s="96" t="s">
        <v>981</v>
      </c>
    </row>
    <row r="37" ht="31.5" customHeight="1">
      <c r="A37" s="105" t="s">
        <v>982</v>
      </c>
      <c r="B37" s="108">
        <f>B35-B36</f>
        <v>12156</v>
      </c>
      <c r="C37" s="105" t="s">
        <v>983</v>
      </c>
    </row>
    <row r="38" ht="24.0" customHeight="1">
      <c r="A38" s="96"/>
      <c r="B38" s="101"/>
      <c r="C38" s="96"/>
      <c r="D38" s="96"/>
      <c r="E38" s="96"/>
      <c r="F38" s="96"/>
      <c r="G38" s="96"/>
      <c r="H38" s="96"/>
      <c r="I38" s="96"/>
    </row>
    <row r="39" ht="24.0" customHeight="1">
      <c r="A39" s="47" t="s">
        <v>984</v>
      </c>
      <c r="B39" s="47" t="s">
        <v>85</v>
      </c>
      <c r="C39" s="47" t="s">
        <v>6</v>
      </c>
      <c r="D39" s="47"/>
      <c r="E39" s="47"/>
      <c r="F39" s="47"/>
      <c r="G39" s="47"/>
      <c r="H39" s="47"/>
      <c r="I39" s="47"/>
    </row>
    <row r="40" ht="31.5" customHeight="1">
      <c r="A40" s="105" t="s">
        <v>985</v>
      </c>
      <c r="B40" s="108">
        <f>B32+B17</f>
        <v>354856.3029</v>
      </c>
      <c r="C40" s="213" t="s">
        <v>986</v>
      </c>
    </row>
    <row r="41" ht="31.5" customHeight="1">
      <c r="A41" s="105" t="s">
        <v>987</v>
      </c>
      <c r="B41" s="108">
        <f>B32+B18</f>
        <v>289113.1521</v>
      </c>
      <c r="C41" s="213" t="s">
        <v>988</v>
      </c>
    </row>
    <row r="42" ht="24.0" customHeight="1">
      <c r="A42" s="96"/>
      <c r="B42" s="101"/>
      <c r="C42" s="96"/>
      <c r="D42" s="96"/>
      <c r="E42" s="96"/>
      <c r="F42" s="96"/>
      <c r="G42" s="96"/>
      <c r="H42" s="96"/>
      <c r="I42" s="96"/>
    </row>
    <row r="43" ht="24.0" customHeight="1">
      <c r="A43" s="96"/>
      <c r="B43" s="101"/>
      <c r="C43" s="96"/>
      <c r="D43" s="96"/>
      <c r="E43" s="96"/>
      <c r="F43" s="96"/>
      <c r="G43" s="96"/>
      <c r="H43" s="96"/>
      <c r="I43" s="96"/>
    </row>
    <row r="44" ht="24.0" customHeight="1">
      <c r="A44" s="47" t="s">
        <v>989</v>
      </c>
      <c r="B44" s="47" t="s">
        <v>990</v>
      </c>
      <c r="C44" s="47" t="s">
        <v>6</v>
      </c>
      <c r="D44" s="47"/>
      <c r="E44" s="47"/>
      <c r="F44" s="47"/>
      <c r="G44" s="47"/>
      <c r="H44" s="47"/>
      <c r="I44" s="47"/>
    </row>
    <row r="45" ht="31.5" customHeight="1">
      <c r="A45" s="96" t="s">
        <v>991</v>
      </c>
      <c r="B45" s="110"/>
      <c r="C45" s="96" t="s">
        <v>992</v>
      </c>
    </row>
    <row r="46" ht="31.5" customHeight="1">
      <c r="A46" s="96" t="s">
        <v>993</v>
      </c>
      <c r="B46" s="110"/>
      <c r="C46" s="96" t="s">
        <v>994</v>
      </c>
    </row>
    <row r="47" ht="24.0" customHeight="1">
      <c r="A47" s="96"/>
      <c r="B47" s="101"/>
      <c r="C47" s="96"/>
      <c r="D47" s="96"/>
      <c r="E47" s="96"/>
      <c r="F47" s="96"/>
      <c r="G47" s="96"/>
      <c r="H47" s="96"/>
      <c r="I47" s="96"/>
    </row>
    <row r="48" ht="24.0" customHeight="1">
      <c r="A48" s="96"/>
      <c r="B48" s="101"/>
      <c r="C48" s="96"/>
      <c r="D48" s="96"/>
      <c r="E48" s="96"/>
      <c r="F48" s="96"/>
      <c r="G48" s="96"/>
      <c r="H48" s="96"/>
      <c r="I48" s="96"/>
    </row>
    <row r="49" ht="24.0" customHeight="1">
      <c r="A49" s="96" t="s">
        <v>995</v>
      </c>
      <c r="B49" s="101" t="s">
        <v>996</v>
      </c>
    </row>
    <row r="50" ht="33.75" customHeight="1">
      <c r="A50" s="96" t="s">
        <v>997</v>
      </c>
    </row>
    <row r="51" ht="33.75" customHeight="1">
      <c r="A51" s="96" t="s">
        <v>998</v>
      </c>
    </row>
    <row r="52" ht="24.0" customHeight="1">
      <c r="A52" s="96"/>
      <c r="B52" s="96"/>
      <c r="C52" s="96"/>
      <c r="D52" s="96"/>
      <c r="E52" s="96"/>
      <c r="F52" s="96"/>
      <c r="G52" s="96"/>
      <c r="H52" s="96"/>
      <c r="I52" s="96"/>
    </row>
    <row r="53" ht="24.0" customHeight="1">
      <c r="A53" s="96"/>
      <c r="B53" s="96"/>
      <c r="C53" s="96"/>
      <c r="D53" s="96"/>
      <c r="E53" s="96"/>
      <c r="F53" s="96"/>
      <c r="G53" s="96"/>
      <c r="H53" s="96"/>
      <c r="I53" s="96"/>
    </row>
    <row r="54" ht="21.0" customHeight="1">
      <c r="A54" s="80" t="s">
        <v>999</v>
      </c>
      <c r="I54" s="96"/>
    </row>
    <row r="55" ht="21.0" customHeight="1">
      <c r="A55" s="81" t="s">
        <v>1000</v>
      </c>
      <c r="B55" s="124">
        <f>'Sources and basis'!B102</f>
        <v>20000</v>
      </c>
      <c r="C55" s="214" t="s">
        <v>1001</v>
      </c>
      <c r="D55" s="124"/>
      <c r="E55" s="124"/>
      <c r="F55" s="83"/>
      <c r="G55" s="83"/>
      <c r="H55" s="83"/>
      <c r="I55" s="96"/>
    </row>
    <row r="56" ht="21.0" customHeight="1">
      <c r="A56" s="81" t="s">
        <v>1002</v>
      </c>
      <c r="B56" s="87">
        <f>Assumptions!B229</f>
        <v>0.5</v>
      </c>
      <c r="C56" s="214" t="s">
        <v>1003</v>
      </c>
      <c r="D56" s="124"/>
      <c r="E56" s="124"/>
      <c r="F56" s="83"/>
      <c r="G56" s="83"/>
      <c r="H56" s="83"/>
    </row>
    <row r="57" ht="21.0" customHeight="1">
      <c r="A57" s="81" t="s">
        <v>1004</v>
      </c>
      <c r="B57" s="124">
        <f>B55*B56</f>
        <v>10000</v>
      </c>
      <c r="C57" s="214" t="s">
        <v>1005</v>
      </c>
      <c r="D57" s="124"/>
      <c r="E57" s="124"/>
      <c r="F57" s="83"/>
      <c r="G57" s="83"/>
      <c r="H57" s="83"/>
    </row>
    <row r="58" ht="21.0" customHeight="1">
      <c r="A58" s="81" t="s">
        <v>1006</v>
      </c>
      <c r="B58" s="215" t="s">
        <v>50</v>
      </c>
      <c r="C58" s="215" t="s">
        <v>51</v>
      </c>
      <c r="D58" s="215" t="s">
        <v>52</v>
      </c>
      <c r="E58" s="215" t="s">
        <v>53</v>
      </c>
      <c r="F58" s="83"/>
      <c r="G58" s="83"/>
      <c r="H58" s="83"/>
    </row>
    <row r="59" ht="21.0" customHeight="1">
      <c r="A59" s="81" t="s">
        <v>1007</v>
      </c>
      <c r="B59" s="124">
        <f t="shared" ref="B59:E59" si="5">$B$57/4</f>
        <v>2500</v>
      </c>
      <c r="C59" s="124">
        <f t="shared" si="5"/>
        <v>2500</v>
      </c>
      <c r="D59" s="124">
        <f t="shared" si="5"/>
        <v>2500</v>
      </c>
      <c r="E59" s="124">
        <f t="shared" si="5"/>
        <v>2500</v>
      </c>
      <c r="F59" s="81" t="s">
        <v>1008</v>
      </c>
      <c r="G59" s="83"/>
      <c r="H59" s="83"/>
    </row>
    <row r="60" ht="21.0" customHeight="1">
      <c r="A60" s="83"/>
      <c r="B60" s="83"/>
      <c r="C60" s="83"/>
      <c r="D60" s="83"/>
      <c r="E60" s="83"/>
      <c r="F60" s="83"/>
      <c r="G60" s="83"/>
      <c r="H60" s="83"/>
    </row>
    <row r="61" ht="36.0" customHeight="1">
      <c r="A61" s="81" t="s">
        <v>1009</v>
      </c>
    </row>
    <row r="62" ht="36.0" customHeight="1">
      <c r="A62" s="84" t="s">
        <v>1010</v>
      </c>
    </row>
    <row r="65">
      <c r="A65" s="189" t="s">
        <v>1011</v>
      </c>
      <c r="B65" s="189"/>
      <c r="C65" s="189"/>
    </row>
    <row r="66">
      <c r="A66" s="190" t="s">
        <v>1012</v>
      </c>
      <c r="B66" s="190">
        <v>170.86</v>
      </c>
      <c r="C66" s="190" t="s">
        <v>1013</v>
      </c>
    </row>
    <row r="67">
      <c r="A67" s="190" t="s">
        <v>1014</v>
      </c>
      <c r="B67" s="190">
        <v>147.49</v>
      </c>
      <c r="C67" s="190" t="s">
        <v>1015</v>
      </c>
    </row>
    <row r="68">
      <c r="A68" s="190" t="s">
        <v>1016</v>
      </c>
      <c r="B68" s="190" t="s">
        <v>1017</v>
      </c>
      <c r="C68" s="190" t="s">
        <v>1018</v>
      </c>
    </row>
    <row r="69">
      <c r="A69" s="190" t="s">
        <v>1019</v>
      </c>
      <c r="B69" s="190">
        <f>B67/B66</f>
        <v>0.8632213508</v>
      </c>
      <c r="C69" s="190" t="s">
        <v>1020</v>
      </c>
    </row>
    <row r="70">
      <c r="A70" s="190" t="s">
        <v>1021</v>
      </c>
      <c r="B70" s="190">
        <v>5000.0</v>
      </c>
      <c r="C70" s="190" t="s">
        <v>1022</v>
      </c>
    </row>
    <row r="71">
      <c r="A71" s="190" t="s">
        <v>1023</v>
      </c>
      <c r="B71" s="190">
        <f>'Discount rate'!B33/20*12.15</f>
        <v>233.8875</v>
      </c>
      <c r="C71" s="190" t="s">
        <v>1024</v>
      </c>
    </row>
    <row r="72">
      <c r="A72" s="190" t="s">
        <v>1025</v>
      </c>
      <c r="B72" s="190">
        <v>2693.0</v>
      </c>
      <c r="C72" s="190" t="s">
        <v>1026</v>
      </c>
    </row>
    <row r="73">
      <c r="A73" s="190" t="s">
        <v>1027</v>
      </c>
      <c r="B73" s="190">
        <v>0.0</v>
      </c>
      <c r="C73" s="190" t="s">
        <v>1028</v>
      </c>
    </row>
  </sheetData>
  <mergeCells count="27">
    <mergeCell ref="A1:I1"/>
    <mergeCell ref="A2:I2"/>
    <mergeCell ref="C17:I17"/>
    <mergeCell ref="C18:I18"/>
    <mergeCell ref="C21:I21"/>
    <mergeCell ref="C22:I22"/>
    <mergeCell ref="C23:I23"/>
    <mergeCell ref="C27:I27"/>
    <mergeCell ref="C28:I28"/>
    <mergeCell ref="C29:I29"/>
    <mergeCell ref="C30:I30"/>
    <mergeCell ref="C31:I31"/>
    <mergeCell ref="C32:I32"/>
    <mergeCell ref="C33:I33"/>
    <mergeCell ref="B49:I49"/>
    <mergeCell ref="A50:I50"/>
    <mergeCell ref="A51:I51"/>
    <mergeCell ref="A54:H54"/>
    <mergeCell ref="A61:H61"/>
    <mergeCell ref="A62:H62"/>
    <mergeCell ref="C35:I35"/>
    <mergeCell ref="C36:I36"/>
    <mergeCell ref="C37:I37"/>
    <mergeCell ref="C40:I40"/>
    <mergeCell ref="C41:I41"/>
    <mergeCell ref="C45:I45"/>
    <mergeCell ref="C46:I46"/>
  </mergeCells>
  <dataValidations>
    <dataValidation type="decimal" operator="greaterThanOrEqual" allowBlank="1" showDropDown="1" showInputMessage="1" showErrorMessage="1" prompt="Tax basis or explicitly labelled proxy, USD millions. Leave blank if unresolved." sqref="C7:C12">
      <formula1>0.0</formula1>
    </dataValidation>
    <dataValidation type="decimal" allowBlank="1" showDropDown="1" showErrorMessage="1" sqref="D7:E12">
      <formula1>0.0</formula1>
      <formula2>1.0</formula2>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s>
  <sheetData>
    <row r="1" ht="19.5" customHeight="1">
      <c r="A1" s="1" t="s">
        <v>1029</v>
      </c>
    </row>
    <row r="2" ht="34.5" customHeight="1">
      <c r="A2" s="55" t="s">
        <v>1030</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1031</v>
      </c>
      <c r="B6" s="6" t="s">
        <v>1032</v>
      </c>
      <c r="C6" s="6" t="s">
        <v>1033</v>
      </c>
      <c r="D6" s="6" t="s">
        <v>1034</v>
      </c>
      <c r="E6" s="6" t="s">
        <v>1035</v>
      </c>
      <c r="F6" s="6" t="s">
        <v>341</v>
      </c>
      <c r="G6" s="6"/>
    </row>
    <row r="7" ht="19.5" customHeight="1">
      <c r="A7" s="3"/>
      <c r="B7" s="3"/>
      <c r="C7" s="3"/>
      <c r="D7" s="3"/>
      <c r="E7" s="3"/>
      <c r="F7" s="3"/>
      <c r="G7" s="3"/>
    </row>
    <row r="8" ht="19.5" customHeight="1">
      <c r="A8" s="3" t="s">
        <v>354</v>
      </c>
      <c r="B8" s="4">
        <f>'Revenue breakdown'!C8</f>
        <v>198084</v>
      </c>
      <c r="C8" s="4">
        <f>'Revenue breakdown'!G8</f>
        <v>224532</v>
      </c>
      <c r="D8" s="4">
        <f>SUM('Revenue breakdown'!D8:E8)</f>
        <v>104892</v>
      </c>
      <c r="E8" s="4">
        <f>SUM('Revenue breakdown'!H8:I8)</f>
        <v>123670</v>
      </c>
      <c r="F8" s="21">
        <f t="shared" ref="F8:F16" si="1">C8-D8+E8</f>
        <v>243310</v>
      </c>
      <c r="G8" s="3"/>
    </row>
    <row r="9" ht="19.5" customHeight="1">
      <c r="A9" s="3" t="s">
        <v>356</v>
      </c>
      <c r="B9" s="4">
        <f>'Revenue breakdown'!C9</f>
        <v>36147</v>
      </c>
      <c r="C9" s="4">
        <f>'Revenue breakdown'!G9</f>
        <v>40367</v>
      </c>
      <c r="D9" s="4">
        <f>SUM('Revenue breakdown'!D9:E9)</f>
        <v>18723</v>
      </c>
      <c r="E9" s="4">
        <f>SUM('Revenue breakdown'!H9:I9)</f>
        <v>20938</v>
      </c>
      <c r="F9" s="21">
        <f t="shared" si="1"/>
        <v>42582</v>
      </c>
      <c r="G9" s="3"/>
    </row>
    <row r="10" ht="19.5" customHeight="1">
      <c r="A10" s="3" t="s">
        <v>357</v>
      </c>
      <c r="B10" s="4">
        <f>'Revenue breakdown'!C10</f>
        <v>30359</v>
      </c>
      <c r="C10" s="4">
        <f>'Revenue breakdown'!G10</f>
        <v>29792</v>
      </c>
      <c r="D10" s="4">
        <f>SUM('Revenue breakdown'!D10:E10)</f>
        <v>14610</v>
      </c>
      <c r="E10" s="4">
        <f>SUM('Revenue breakdown'!H10:I10)</f>
        <v>14274</v>
      </c>
      <c r="F10" s="21">
        <f t="shared" si="1"/>
        <v>29456</v>
      </c>
      <c r="G10" s="3"/>
    </row>
    <row r="11" ht="19.5" customHeight="1">
      <c r="A11" s="3" t="s">
        <v>1036</v>
      </c>
      <c r="B11" s="4">
        <f>'Revenue breakdown'!C12</f>
        <v>40340</v>
      </c>
      <c r="C11" s="4">
        <f>'Revenue breakdown'!G12</f>
        <v>48030</v>
      </c>
      <c r="D11" s="4">
        <f>SUM('Revenue breakdown'!D12:E12)</f>
        <v>21582</v>
      </c>
      <c r="E11" s="4">
        <f>SUM('Revenue breakdown'!H12:I12)</f>
        <v>25295</v>
      </c>
      <c r="F11" s="21">
        <f t="shared" si="1"/>
        <v>51743</v>
      </c>
      <c r="G11" s="3"/>
    </row>
    <row r="12" ht="19.5" customHeight="1">
      <c r="A12" s="3" t="s">
        <v>276</v>
      </c>
      <c r="B12" s="4">
        <f>'Revenue breakdown'!C13</f>
        <v>304930</v>
      </c>
      <c r="C12" s="4">
        <f>'Revenue breakdown'!G13</f>
        <v>342721</v>
      </c>
      <c r="D12" s="4">
        <f>SUM('Revenue breakdown'!D13:E13)</f>
        <v>159807</v>
      </c>
      <c r="E12" s="4">
        <f>SUM('Revenue breakdown'!H13:I13)</f>
        <v>184177</v>
      </c>
      <c r="F12" s="21">
        <f t="shared" si="1"/>
        <v>367091</v>
      </c>
      <c r="G12" s="3"/>
    </row>
    <row r="13" ht="19.5" customHeight="1">
      <c r="A13" s="3" t="s">
        <v>278</v>
      </c>
      <c r="B13" s="4">
        <f>'Revenue breakdown'!C16</f>
        <v>43229</v>
      </c>
      <c r="C13" s="4">
        <f>'Revenue breakdown'!G16</f>
        <v>58705</v>
      </c>
      <c r="D13" s="4">
        <f>SUM('Revenue breakdown'!D16:E16)</f>
        <v>25884</v>
      </c>
      <c r="E13" s="4">
        <f>SUM('Revenue breakdown'!H16:I16)</f>
        <v>44796</v>
      </c>
      <c r="F13" s="21">
        <f t="shared" si="1"/>
        <v>77617</v>
      </c>
      <c r="G13" s="3"/>
    </row>
    <row r="14" ht="19.5" customHeight="1">
      <c r="A14" s="3" t="s">
        <v>280</v>
      </c>
      <c r="B14" s="4">
        <f>'Revenue breakdown'!C17</f>
        <v>1648</v>
      </c>
      <c r="C14" s="4">
        <f>'Revenue breakdown'!G17</f>
        <v>1537</v>
      </c>
      <c r="D14" s="4">
        <f>SUM('Revenue breakdown'!D17:E17)</f>
        <v>823</v>
      </c>
      <c r="E14" s="4">
        <f>SUM('Revenue breakdown'!H17:I17)</f>
        <v>793</v>
      </c>
      <c r="F14" s="21">
        <f t="shared" si="1"/>
        <v>1507</v>
      </c>
      <c r="G14" s="3"/>
    </row>
    <row r="15" ht="19.5" customHeight="1">
      <c r="A15" s="3" t="s">
        <v>1037</v>
      </c>
      <c r="B15" s="4">
        <f>'Revenue breakdown'!C18</f>
        <v>211</v>
      </c>
      <c r="C15" s="4">
        <f>'Revenue breakdown'!G18</f>
        <v>-127</v>
      </c>
      <c r="D15" s="4">
        <f>SUM('Revenue breakdown'!D18:E18)</f>
        <v>148</v>
      </c>
      <c r="E15" s="4">
        <f>SUM('Revenue breakdown'!H18:I18)</f>
        <v>-74</v>
      </c>
      <c r="F15" s="21">
        <f t="shared" si="1"/>
        <v>-349</v>
      </c>
      <c r="G15" s="3"/>
    </row>
    <row r="16" ht="19.5" customHeight="1">
      <c r="A16" s="22" t="s">
        <v>446</v>
      </c>
      <c r="B16" s="115">
        <f>'Income statement'!C8</f>
        <v>350018</v>
      </c>
      <c r="C16" s="115">
        <f>'Income statement'!G8</f>
        <v>402836</v>
      </c>
      <c r="D16" s="115">
        <f>SUM('Income statement'!D8:E8)</f>
        <v>186662</v>
      </c>
      <c r="E16" s="115">
        <f>SUM('Income statement'!H8:I8)</f>
        <v>229692</v>
      </c>
      <c r="F16" s="116">
        <f t="shared" si="1"/>
        <v>445866</v>
      </c>
      <c r="G16" s="22"/>
    </row>
    <row r="17" ht="19.5" customHeight="1">
      <c r="A17" s="3" t="s">
        <v>1038</v>
      </c>
      <c r="B17" s="145">
        <f t="shared" ref="B17:F17" si="2">SUM(B12:B15)-B16</f>
        <v>0</v>
      </c>
      <c r="C17" s="145">
        <f t="shared" si="2"/>
        <v>0</v>
      </c>
      <c r="D17" s="145">
        <f t="shared" si="2"/>
        <v>0</v>
      </c>
      <c r="E17" s="145">
        <f t="shared" si="2"/>
        <v>0</v>
      </c>
      <c r="F17" s="145">
        <f t="shared" si="2"/>
        <v>0</v>
      </c>
      <c r="G17" s="3"/>
    </row>
    <row r="18" ht="19.5" customHeight="1">
      <c r="A18" s="3"/>
      <c r="B18" s="3"/>
      <c r="C18" s="3"/>
      <c r="D18" s="3"/>
      <c r="E18" s="3"/>
      <c r="F18" s="3"/>
      <c r="G18" s="3"/>
    </row>
    <row r="19" ht="19.5" customHeight="1">
      <c r="A19" s="25" t="s">
        <v>1039</v>
      </c>
      <c r="B19" s="25"/>
      <c r="C19" s="25"/>
      <c r="D19" s="25"/>
      <c r="E19" s="25"/>
      <c r="F19" s="25"/>
      <c r="G19" s="25"/>
    </row>
    <row r="20" ht="19.5" customHeight="1">
      <c r="A20" s="3" t="s">
        <v>1040</v>
      </c>
      <c r="B20" s="4">
        <f>'Segment breakdown'!C15</f>
        <v>121263</v>
      </c>
      <c r="C20" s="4">
        <f>'Segment breakdown'!G15</f>
        <v>139404</v>
      </c>
      <c r="D20" s="4">
        <f>SUM('Segment breakdown'!D15:E15)</f>
        <v>65745</v>
      </c>
      <c r="E20" s="4">
        <f>SUM('Segment breakdown'!H15:I15)</f>
        <v>80133</v>
      </c>
      <c r="F20" s="21">
        <f t="shared" ref="F20:F24" si="3">C20-D20+E20</f>
        <v>153792</v>
      </c>
      <c r="G20" s="3"/>
    </row>
    <row r="21" ht="19.5" customHeight="1">
      <c r="A21" s="3" t="s">
        <v>1041</v>
      </c>
      <c r="B21" s="4">
        <f>'Segment breakdown'!C16</f>
        <v>6112</v>
      </c>
      <c r="C21" s="4">
        <f>'Segment breakdown'!G16</f>
        <v>13910</v>
      </c>
      <c r="D21" s="4">
        <f>SUM('Segment breakdown'!D16:E16)</f>
        <v>5003</v>
      </c>
      <c r="E21" s="4">
        <f>SUM('Segment breakdown'!H16:I16)</f>
        <v>15412</v>
      </c>
      <c r="F21" s="21">
        <f t="shared" si="3"/>
        <v>24319</v>
      </c>
      <c r="G21" s="3"/>
    </row>
    <row r="22" ht="19.5" customHeight="1">
      <c r="A22" s="3" t="s">
        <v>1042</v>
      </c>
      <c r="B22" s="4">
        <f>'Segment breakdown'!C17</f>
        <v>-4444</v>
      </c>
      <c r="C22" s="4">
        <f>'Segment breakdown'!G17</f>
        <v>-7515</v>
      </c>
      <c r="D22" s="4">
        <f>SUM('Segment breakdown'!D17:E17)</f>
        <v>-2472</v>
      </c>
      <c r="E22" s="4">
        <f>SUM('Segment breakdown'!H17:I17)</f>
        <v>-3899</v>
      </c>
      <c r="F22" s="21">
        <f t="shared" si="3"/>
        <v>-8942</v>
      </c>
      <c r="G22" s="3"/>
    </row>
    <row r="23" ht="19.5" customHeight="1">
      <c r="A23" s="3" t="s">
        <v>1043</v>
      </c>
      <c r="B23" s="4">
        <f>'Segment breakdown'!C18</f>
        <v>-10541</v>
      </c>
      <c r="C23" s="4">
        <f>'Segment breakdown'!G18</f>
        <v>-16760</v>
      </c>
      <c r="D23" s="4">
        <f>SUM('Segment breakdown'!D18:E18)</f>
        <v>-6399</v>
      </c>
      <c r="E23" s="4">
        <f>SUM('Segment breakdown'!H18:I18)</f>
        <v>-11180</v>
      </c>
      <c r="F23" s="21">
        <f t="shared" si="3"/>
        <v>-21541</v>
      </c>
      <c r="G23" s="3"/>
    </row>
    <row r="24" ht="19.5" customHeight="1">
      <c r="A24" s="22" t="s">
        <v>372</v>
      </c>
      <c r="B24" s="115">
        <f>'Income statement'!C16</f>
        <v>112390</v>
      </c>
      <c r="C24" s="115">
        <f>'Income statement'!G16</f>
        <v>129039</v>
      </c>
      <c r="D24" s="115">
        <f>SUM('Income statement'!D16:E16)</f>
        <v>61877</v>
      </c>
      <c r="E24" s="115">
        <f>SUM('Income statement'!H16:I16)</f>
        <v>80466</v>
      </c>
      <c r="F24" s="116">
        <f t="shared" si="3"/>
        <v>147628</v>
      </c>
      <c r="G24" s="22"/>
    </row>
    <row r="25" ht="19.5" customHeight="1">
      <c r="A25" s="3" t="s">
        <v>1044</v>
      </c>
      <c r="B25" s="145">
        <f t="shared" ref="B25:F25" si="4">SUM(B20:B23)-B24</f>
        <v>0</v>
      </c>
      <c r="C25" s="145">
        <f t="shared" si="4"/>
        <v>0</v>
      </c>
      <c r="D25" s="145">
        <f t="shared" si="4"/>
        <v>0</v>
      </c>
      <c r="E25" s="145">
        <f t="shared" si="4"/>
        <v>0</v>
      </c>
      <c r="F25" s="145">
        <f t="shared" si="4"/>
        <v>0</v>
      </c>
      <c r="G25" s="3"/>
    </row>
    <row r="26" ht="19.5" customHeight="1">
      <c r="A26" s="3" t="s">
        <v>1045</v>
      </c>
      <c r="B26" s="29">
        <f t="shared" ref="B26:F26" si="5">B20/B12</f>
        <v>0.3976748762</v>
      </c>
      <c r="C26" s="29">
        <f t="shared" si="5"/>
        <v>0.4067565162</v>
      </c>
      <c r="D26" s="29">
        <f t="shared" si="5"/>
        <v>0.4114025043</v>
      </c>
      <c r="E26" s="29">
        <f t="shared" si="5"/>
        <v>0.4350869001</v>
      </c>
      <c r="F26" s="29">
        <f t="shared" si="5"/>
        <v>0.4189478903</v>
      </c>
      <c r="G26" s="3"/>
    </row>
    <row r="27" ht="19.5" customHeight="1">
      <c r="A27" s="3" t="s">
        <v>829</v>
      </c>
      <c r="B27" s="29">
        <f t="shared" ref="B27:F27" si="6">B21/B13</f>
        <v>0.1413865692</v>
      </c>
      <c r="C27" s="29">
        <f t="shared" si="6"/>
        <v>0.2369474491</v>
      </c>
      <c r="D27" s="29">
        <f t="shared" si="6"/>
        <v>0.1932854273</v>
      </c>
      <c r="E27" s="29">
        <f t="shared" si="6"/>
        <v>0.3440485758</v>
      </c>
      <c r="F27" s="29">
        <f t="shared" si="6"/>
        <v>0.3133205354</v>
      </c>
      <c r="G27" s="3"/>
    </row>
    <row r="28" ht="19.5" customHeight="1">
      <c r="A28" s="3" t="s">
        <v>1046</v>
      </c>
      <c r="B28" s="29">
        <f t="shared" ref="B28:F28" si="7">B24/B16</f>
        <v>0.3210977721</v>
      </c>
      <c r="C28" s="29">
        <f t="shared" si="7"/>
        <v>0.3203263859</v>
      </c>
      <c r="D28" s="29">
        <f t="shared" si="7"/>
        <v>0.3314922159</v>
      </c>
      <c r="E28" s="29">
        <f t="shared" si="7"/>
        <v>0.3503212998</v>
      </c>
      <c r="F28" s="29">
        <f t="shared" si="7"/>
        <v>0.331103964</v>
      </c>
      <c r="G28" s="3"/>
    </row>
    <row r="29" ht="19.5" customHeight="1">
      <c r="A29" s="3" t="s">
        <v>1047</v>
      </c>
      <c r="B29" s="29">
        <f t="shared" ref="B29:F29" si="8">B13/B16</f>
        <v>0.1235050769</v>
      </c>
      <c r="C29" s="29">
        <f t="shared" si="8"/>
        <v>0.1457292794</v>
      </c>
      <c r="D29" s="29">
        <f t="shared" si="8"/>
        <v>0.1386677524</v>
      </c>
      <c r="E29" s="29">
        <f t="shared" si="8"/>
        <v>0.1950263832</v>
      </c>
      <c r="F29" s="29">
        <f t="shared" si="8"/>
        <v>0.1740814505</v>
      </c>
      <c r="G29" s="3"/>
    </row>
    <row r="30" ht="19.5" customHeight="1">
      <c r="A30" s="22" t="s">
        <v>1048</v>
      </c>
      <c r="B30" s="115">
        <f>B24*(1-Assumptions!$B$5)</f>
        <v>88788.1</v>
      </c>
      <c r="C30" s="115">
        <f>C24*(1-Assumptions!$B$5)</f>
        <v>101940.81</v>
      </c>
      <c r="D30" s="115">
        <f>D24*(1-Assumptions!$B$5)</f>
        <v>48882.83</v>
      </c>
      <c r="E30" s="115">
        <f>E24*(1-Assumptions!$B$5)</f>
        <v>63568.14</v>
      </c>
      <c r="F30" s="115">
        <f>F24*(1-Assumptions!$B$5)</f>
        <v>116626.12</v>
      </c>
      <c r="G30" s="22"/>
    </row>
    <row r="31" ht="19.5" customHeight="1">
      <c r="A31" s="3"/>
      <c r="B31" s="3"/>
      <c r="C31" s="3"/>
      <c r="D31" s="3"/>
      <c r="E31" s="3"/>
      <c r="F31" s="3"/>
      <c r="G31" s="3"/>
    </row>
    <row r="32" ht="19.5" customHeight="1">
      <c r="A32" s="3"/>
      <c r="B32" s="3"/>
      <c r="C32" s="3"/>
      <c r="D32" s="3"/>
      <c r="E32" s="3"/>
      <c r="F32" s="3"/>
      <c r="G32" s="3"/>
    </row>
    <row r="33" ht="19.5" customHeight="1">
      <c r="A33" s="25" t="s">
        <v>1049</v>
      </c>
      <c r="B33" s="25"/>
      <c r="C33" s="25"/>
      <c r="D33" s="25"/>
      <c r="E33" s="25"/>
      <c r="F33" s="25"/>
      <c r="G33" s="25"/>
    </row>
    <row r="34" ht="19.5" customHeight="1">
      <c r="A34" s="3" t="s">
        <v>1050</v>
      </c>
      <c r="B34" s="4">
        <f>1*SUM('Cash flow'!C22)</f>
        <v>125299</v>
      </c>
      <c r="C34" s="4">
        <f>1*SUM('Cash flow'!G22)</f>
        <v>164713</v>
      </c>
      <c r="D34" s="4">
        <f>1*SUM('Cash flow'!E22)</f>
        <v>63897</v>
      </c>
      <c r="E34" s="4">
        <f>1*SUM('Cash flow'!I22)</f>
        <v>84859</v>
      </c>
      <c r="F34" s="21">
        <f t="shared" ref="F34:F35" si="9">C34-D34+E34</f>
        <v>185675</v>
      </c>
      <c r="G34" s="3"/>
    </row>
    <row r="35" ht="19.5" customHeight="1">
      <c r="A35" s="3" t="s">
        <v>376</v>
      </c>
      <c r="B35" s="4">
        <f>-1*SUM('Cash flow'!C25)</f>
        <v>52535</v>
      </c>
      <c r="C35" s="4">
        <f>-1*SUM('Cash flow'!G25)</f>
        <v>91447</v>
      </c>
      <c r="D35" s="4">
        <f>-1*SUM('Cash flow'!E25)</f>
        <v>39643</v>
      </c>
      <c r="E35" s="4">
        <f>-1*SUM('Cash flow'!I25)</f>
        <v>80598</v>
      </c>
      <c r="F35" s="21">
        <f t="shared" si="9"/>
        <v>132402</v>
      </c>
      <c r="G35" s="3"/>
    </row>
    <row r="36" ht="19.5" customHeight="1">
      <c r="A36" s="22" t="s">
        <v>1051</v>
      </c>
      <c r="B36" s="116">
        <f t="shared" ref="B36:F36" si="10">B34-B35</f>
        <v>72764</v>
      </c>
      <c r="C36" s="116">
        <f t="shared" si="10"/>
        <v>73266</v>
      </c>
      <c r="D36" s="116">
        <f t="shared" si="10"/>
        <v>24254</v>
      </c>
      <c r="E36" s="116">
        <f t="shared" si="10"/>
        <v>4261</v>
      </c>
      <c r="F36" s="116">
        <f t="shared" si="10"/>
        <v>53273</v>
      </c>
      <c r="G36" s="22"/>
    </row>
    <row r="37" ht="19.5" customHeight="1">
      <c r="A37" s="3" t="s">
        <v>1052</v>
      </c>
      <c r="B37" s="4">
        <f>1*SUM('Cash flow'!C10)</f>
        <v>22785</v>
      </c>
      <c r="C37" s="4">
        <f>1*SUM('Cash flow'!G10)</f>
        <v>24953</v>
      </c>
      <c r="D37" s="4">
        <f>1*SUM('Cash flow'!E10)</f>
        <v>11514</v>
      </c>
      <c r="E37" s="4">
        <f>1*SUM('Cash flow'!I10)</f>
        <v>14708</v>
      </c>
      <c r="F37" s="21">
        <f>C37-D37+E37</f>
        <v>28147</v>
      </c>
      <c r="G37" s="3"/>
    </row>
    <row r="38" ht="19.5" customHeight="1">
      <c r="A38" s="22" t="s">
        <v>1053</v>
      </c>
      <c r="B38" s="116">
        <f t="shared" ref="B38:F38" si="11">B36-B37</f>
        <v>49979</v>
      </c>
      <c r="C38" s="116">
        <f t="shared" si="11"/>
        <v>48313</v>
      </c>
      <c r="D38" s="116">
        <f t="shared" si="11"/>
        <v>12740</v>
      </c>
      <c r="E38" s="116">
        <f t="shared" si="11"/>
        <v>-10447</v>
      </c>
      <c r="F38" s="116">
        <f t="shared" si="11"/>
        <v>25126</v>
      </c>
      <c r="G38" s="22"/>
    </row>
    <row r="39" ht="19.5" customHeight="1">
      <c r="A39" s="3" t="s">
        <v>1054</v>
      </c>
      <c r="B39" s="4">
        <f>1*SUM('Cash flow'!C9)</f>
        <v>15311</v>
      </c>
      <c r="C39" s="4">
        <f>1*SUM('Cash flow'!G9)</f>
        <v>21136</v>
      </c>
      <c r="D39" s="4">
        <f>1*SUM('Cash flow'!E9)</f>
        <v>9485</v>
      </c>
      <c r="E39" s="4">
        <f>1*SUM('Cash flow'!I9)</f>
        <v>13586</v>
      </c>
      <c r="F39" s="21">
        <f>C39-D39+E39</f>
        <v>25237</v>
      </c>
      <c r="G39" s="3"/>
    </row>
    <row r="40" ht="19.5" customHeight="1">
      <c r="A40" s="3" t="s">
        <v>704</v>
      </c>
      <c r="B40" s="29">
        <f t="shared" ref="B40:F40" si="12">B35/B16</f>
        <v>0.150092281</v>
      </c>
      <c r="C40" s="29">
        <f t="shared" si="12"/>
        <v>0.2270080132</v>
      </c>
      <c r="D40" s="29">
        <f t="shared" si="12"/>
        <v>0.2123785237</v>
      </c>
      <c r="E40" s="29">
        <f t="shared" si="12"/>
        <v>0.3508959824</v>
      </c>
      <c r="F40" s="29">
        <f t="shared" si="12"/>
        <v>0.2969546904</v>
      </c>
      <c r="G40" s="3"/>
    </row>
    <row r="41" ht="19.5" customHeight="1">
      <c r="A41" s="3" t="s">
        <v>1055</v>
      </c>
      <c r="B41" s="4">
        <f>1*SUM('Cash flow'!C8)</f>
        <v>100118</v>
      </c>
      <c r="C41" s="4">
        <f>1*SUM('Cash flow'!G8)</f>
        <v>132170</v>
      </c>
      <c r="D41" s="4">
        <f>1*SUM('Cash flow'!E8)</f>
        <v>62736</v>
      </c>
      <c r="E41" s="4">
        <f>1*SUM('Cash flow'!I8)</f>
        <v>174771</v>
      </c>
      <c r="F41" s="21">
        <f t="shared" ref="F41:F44" si="13">C41-D41+E41</f>
        <v>244205</v>
      </c>
      <c r="G41" s="3"/>
    </row>
    <row r="42" ht="19.5" customHeight="1">
      <c r="A42" s="3" t="s">
        <v>1056</v>
      </c>
      <c r="B42" s="4">
        <f>1*SUM('Cash flow'!C11)</f>
        <v>-5257</v>
      </c>
      <c r="C42" s="4">
        <f>1*SUM('Cash flow'!G11)</f>
        <v>8348</v>
      </c>
      <c r="D42" s="4">
        <f>1*SUM('Cash flow'!E11)</f>
        <v>-1596</v>
      </c>
      <c r="E42" s="4">
        <f>1*SUM('Cash flow'!I11)</f>
        <v>27538</v>
      </c>
      <c r="F42" s="21">
        <f t="shared" si="13"/>
        <v>37482</v>
      </c>
      <c r="G42" s="3"/>
    </row>
    <row r="43" ht="19.5" customHeight="1">
      <c r="A43" s="3" t="s">
        <v>1057</v>
      </c>
      <c r="B43" s="4">
        <f>1*SUM('Cash flow'!C12)</f>
        <v>-2671</v>
      </c>
      <c r="C43" s="4">
        <f>1*SUM('Cash flow'!G12)</f>
        <v>-24620</v>
      </c>
      <c r="D43" s="4">
        <f>1*SUM('Cash flow'!E12)</f>
        <v>-11411</v>
      </c>
      <c r="E43" s="4">
        <f>1*SUM('Cash flow'!I12)</f>
        <v>-135803</v>
      </c>
      <c r="F43" s="21">
        <f t="shared" si="13"/>
        <v>-149012</v>
      </c>
      <c r="G43" s="3"/>
    </row>
    <row r="44" ht="19.5" customHeight="1">
      <c r="A44" s="3" t="s">
        <v>1058</v>
      </c>
      <c r="B44" s="4">
        <f>1*SUM('Cash flow'!C13)</f>
        <v>3419</v>
      </c>
      <c r="C44" s="4">
        <f>1*SUM('Cash flow'!G13)</f>
        <v>2108</v>
      </c>
      <c r="D44" s="4">
        <f>1*SUM('Cash flow'!E13)</f>
        <v>1041</v>
      </c>
      <c r="E44" s="4">
        <f>1*SUM('Cash flow'!I13)</f>
        <v>3161</v>
      </c>
      <c r="F44" s="21">
        <f t="shared" si="13"/>
        <v>4228</v>
      </c>
      <c r="G44" s="3"/>
    </row>
    <row r="45" ht="19.5" customHeight="1">
      <c r="A45" s="3"/>
      <c r="B45" s="3"/>
      <c r="C45" s="3"/>
      <c r="D45" s="3"/>
      <c r="E45" s="3"/>
      <c r="F45" s="3"/>
      <c r="G45" s="3"/>
    </row>
    <row r="46" ht="19.5" customHeight="1">
      <c r="A46" s="3" t="s">
        <v>1059</v>
      </c>
      <c r="B46" s="4">
        <f>1*SUM('Cash flow'!C14)</f>
        <v>-5891</v>
      </c>
      <c r="C46" s="4">
        <f>1*SUM('Cash flow'!G14)</f>
        <v>-8779</v>
      </c>
      <c r="D46" s="4">
        <f>1*SUM('Cash flow'!E14)</f>
        <v>-1201</v>
      </c>
      <c r="E46" s="4">
        <f>1*SUM('Cash flow'!I14)</f>
        <v>-6904</v>
      </c>
      <c r="F46" s="21">
        <f t="shared" ref="F46:F52" si="14">C46-D46+E46</f>
        <v>-14482</v>
      </c>
      <c r="G46" s="3"/>
    </row>
    <row r="47" ht="19.5" customHeight="1">
      <c r="A47" s="3" t="s">
        <v>1060</v>
      </c>
      <c r="B47" s="4">
        <f>1*SUM('Cash flow'!C15)</f>
        <v>0</v>
      </c>
      <c r="C47" s="4">
        <f>1*SUM('Cash flow'!G15)</f>
        <v>0</v>
      </c>
      <c r="D47" s="4">
        <f>1*SUM('Cash flow'!E15)</f>
        <v>0</v>
      </c>
      <c r="E47" s="4">
        <f>1*SUM('Cash flow'!I15)</f>
        <v>-7739</v>
      </c>
      <c r="F47" s="21">
        <f t="shared" si="14"/>
        <v>-7739</v>
      </c>
      <c r="G47" s="3"/>
    </row>
    <row r="48" ht="19.5" customHeight="1">
      <c r="A48" s="3" t="s">
        <v>1061</v>
      </c>
      <c r="B48" s="4">
        <f>1*SUM('Cash flow'!C17)</f>
        <v>-1397</v>
      </c>
      <c r="C48" s="4">
        <f>1*SUM('Cash flow'!G17)</f>
        <v>-4542</v>
      </c>
      <c r="D48" s="4">
        <f>1*SUM('Cash flow'!E17)</f>
        <v>-2767</v>
      </c>
      <c r="E48" s="4">
        <f>1*SUM('Cash flow'!I17)</f>
        <v>-9950</v>
      </c>
      <c r="F48" s="21">
        <f t="shared" si="14"/>
        <v>-11725</v>
      </c>
      <c r="G48" s="3"/>
    </row>
    <row r="49" ht="19.5" customHeight="1">
      <c r="A49" s="3" t="s">
        <v>1062</v>
      </c>
      <c r="B49" s="4">
        <f>1*SUM('Cash flow'!C18)</f>
        <v>359</v>
      </c>
      <c r="C49" s="4">
        <f>1*SUM('Cash flow'!G18)</f>
        <v>907</v>
      </c>
      <c r="D49" s="4">
        <f>1*SUM('Cash flow'!E18)</f>
        <v>-327</v>
      </c>
      <c r="E49" s="4">
        <f>1*SUM('Cash flow'!I18)</f>
        <v>2090</v>
      </c>
      <c r="F49" s="21">
        <f t="shared" si="14"/>
        <v>3324</v>
      </c>
      <c r="G49" s="3"/>
    </row>
    <row r="50" ht="19.5" customHeight="1">
      <c r="A50" s="3" t="s">
        <v>1063</v>
      </c>
      <c r="B50" s="4">
        <f>1*SUM('Cash flow'!C19)</f>
        <v>-1161</v>
      </c>
      <c r="C50" s="4">
        <f>1*SUM('Cash flow'!G19)</f>
        <v>12939</v>
      </c>
      <c r="D50" s="4">
        <f>1*SUM('Cash flow'!E19)</f>
        <v>-1560</v>
      </c>
      <c r="E50" s="4">
        <f>1*SUM('Cash flow'!I19)</f>
        <v>308</v>
      </c>
      <c r="F50" s="21">
        <f t="shared" si="14"/>
        <v>14807</v>
      </c>
      <c r="G50" s="3"/>
    </row>
    <row r="51" ht="19.5" customHeight="1">
      <c r="A51" s="3" t="s">
        <v>1064</v>
      </c>
      <c r="B51" s="4">
        <f>1*SUM('Cash flow'!C20)</f>
        <v>1059</v>
      </c>
      <c r="C51" s="4">
        <f>1*SUM('Cash flow'!G20)</f>
        <v>899</v>
      </c>
      <c r="D51" s="4">
        <f>1*SUM('Cash flow'!E20)</f>
        <v>-219</v>
      </c>
      <c r="E51" s="4">
        <f>1*SUM('Cash flow'!I20)</f>
        <v>0</v>
      </c>
      <c r="F51" s="21">
        <f t="shared" si="14"/>
        <v>1118</v>
      </c>
      <c r="G51" s="3"/>
    </row>
    <row r="52" ht="19.5" customHeight="1">
      <c r="A52" s="3" t="s">
        <v>1065</v>
      </c>
      <c r="B52" s="4">
        <f>1*SUM('Cash flow'!C21)</f>
        <v>1043</v>
      </c>
      <c r="C52" s="4">
        <f>1*SUM('Cash flow'!G21)</f>
        <v>2420</v>
      </c>
      <c r="D52" s="4">
        <f>1*SUM('Cash flow'!E21)</f>
        <v>636</v>
      </c>
      <c r="E52" s="4">
        <f>1*SUM('Cash flow'!I21)</f>
        <v>789</v>
      </c>
      <c r="F52" s="21">
        <f t="shared" si="14"/>
        <v>2573</v>
      </c>
      <c r="G52" s="3"/>
    </row>
    <row r="53" ht="19.5" customHeight="1">
      <c r="A53" s="3" t="s">
        <v>1066</v>
      </c>
      <c r="B53" s="21">
        <f t="shared" ref="B53:F53" si="15">SUM(B46:B52)</f>
        <v>-5988</v>
      </c>
      <c r="C53" s="21">
        <f t="shared" si="15"/>
        <v>3844</v>
      </c>
      <c r="D53" s="21">
        <f t="shared" si="15"/>
        <v>-5438</v>
      </c>
      <c r="E53" s="21">
        <f t="shared" si="15"/>
        <v>-21406</v>
      </c>
      <c r="F53" s="21">
        <f t="shared" si="15"/>
        <v>-12124</v>
      </c>
      <c r="G53" s="3"/>
    </row>
    <row r="54" ht="19.5" customHeight="1">
      <c r="A54" s="3" t="s">
        <v>1067</v>
      </c>
      <c r="B54" s="4">
        <f>1*SUM('Cash flow'!C16)</f>
        <v>-2418</v>
      </c>
      <c r="C54" s="4">
        <f>1*SUM('Cash flow'!G16)</f>
        <v>-3226</v>
      </c>
      <c r="D54" s="4">
        <f>1*SUM('Cash flow'!E16)</f>
        <v>-2434</v>
      </c>
      <c r="E54" s="4">
        <f>1*SUM('Cash flow'!I16)</f>
        <v>8304</v>
      </c>
      <c r="F54" s="21">
        <f>C54-D54+E54</f>
        <v>7512</v>
      </c>
      <c r="G54" s="3"/>
    </row>
    <row r="55" ht="19.5" customHeight="1">
      <c r="A55" s="3" t="s">
        <v>1068</v>
      </c>
      <c r="B55" s="21">
        <f t="shared" ref="B55:F55" si="16">SUM(B41:B44)+B39+B37+B53+B54</f>
        <v>125299</v>
      </c>
      <c r="C55" s="21">
        <f t="shared" si="16"/>
        <v>164713</v>
      </c>
      <c r="D55" s="21">
        <f t="shared" si="16"/>
        <v>63897</v>
      </c>
      <c r="E55" s="21">
        <f t="shared" si="16"/>
        <v>84859</v>
      </c>
      <c r="F55" s="21">
        <f t="shared" si="16"/>
        <v>185675</v>
      </c>
      <c r="G55" s="3"/>
    </row>
    <row r="56" ht="19.5" customHeight="1">
      <c r="A56" s="3" t="s">
        <v>1069</v>
      </c>
      <c r="B56" s="145">
        <f t="shared" ref="B56:F56" si="17">B55-B34</f>
        <v>0</v>
      </c>
      <c r="C56" s="145">
        <f t="shared" si="17"/>
        <v>0</v>
      </c>
      <c r="D56" s="145">
        <f t="shared" si="17"/>
        <v>0</v>
      </c>
      <c r="E56" s="145">
        <f t="shared" si="17"/>
        <v>0</v>
      </c>
      <c r="F56" s="145">
        <f t="shared" si="17"/>
        <v>0</v>
      </c>
      <c r="G56" s="3"/>
    </row>
    <row r="57" ht="19.5" customHeight="1">
      <c r="A57" s="3"/>
      <c r="B57" s="3"/>
      <c r="C57" s="3"/>
      <c r="D57" s="3"/>
      <c r="E57" s="3"/>
      <c r="F57" s="3"/>
      <c r="G57" s="3"/>
    </row>
    <row r="58" ht="19.5" customHeight="1">
      <c r="A58" s="22" t="s">
        <v>1070</v>
      </c>
      <c r="B58" s="116">
        <f t="shared" ref="B58:F58" si="18">B30+B39+B44+B53-B35</f>
        <v>48995.1</v>
      </c>
      <c r="C58" s="116">
        <f t="shared" si="18"/>
        <v>37581.81</v>
      </c>
      <c r="D58" s="116">
        <f t="shared" si="18"/>
        <v>14327.83</v>
      </c>
      <c r="E58" s="116">
        <f t="shared" si="18"/>
        <v>-21688.86</v>
      </c>
      <c r="F58" s="116">
        <f t="shared" si="18"/>
        <v>1565.12</v>
      </c>
      <c r="G58" s="22"/>
    </row>
    <row r="59" ht="19.5" customHeight="1">
      <c r="A59" s="3" t="s">
        <v>1071</v>
      </c>
      <c r="B59" s="21">
        <f t="shared" ref="B59:F59" si="19">B36+B30-B41-B37-B42-B43-B54</f>
        <v>48995.1</v>
      </c>
      <c r="C59" s="21">
        <f t="shared" si="19"/>
        <v>37581.81</v>
      </c>
      <c r="D59" s="21">
        <f t="shared" si="19"/>
        <v>14327.83</v>
      </c>
      <c r="E59" s="21">
        <f t="shared" si="19"/>
        <v>-21688.86</v>
      </c>
      <c r="F59" s="21">
        <f t="shared" si="19"/>
        <v>1565.12</v>
      </c>
      <c r="G59" s="3"/>
    </row>
    <row r="60" ht="19.5" customHeight="1">
      <c r="A60" s="3" t="s">
        <v>1072</v>
      </c>
      <c r="B60" s="145">
        <f t="shared" ref="B60:F60" si="20">B58-B59</f>
        <v>0</v>
      </c>
      <c r="C60" s="145">
        <f t="shared" si="20"/>
        <v>0</v>
      </c>
      <c r="D60" s="145">
        <f t="shared" si="20"/>
        <v>0</v>
      </c>
      <c r="E60" s="145">
        <f t="shared" si="20"/>
        <v>0</v>
      </c>
      <c r="F60" s="145">
        <f t="shared" si="20"/>
        <v>0</v>
      </c>
      <c r="G60" s="3"/>
    </row>
    <row r="61" ht="19.5" customHeight="1">
      <c r="A61" s="3"/>
      <c r="B61" s="3"/>
      <c r="C61" s="3"/>
      <c r="D61" s="3"/>
      <c r="E61" s="3"/>
      <c r="F61" s="3"/>
      <c r="G61" s="3"/>
    </row>
    <row r="62" ht="34.5" customHeight="1">
      <c r="A62" s="55" t="s">
        <v>1073</v>
      </c>
    </row>
    <row r="63" ht="34.5" customHeight="1">
      <c r="A63" s="55" t="s">
        <v>1074</v>
      </c>
    </row>
    <row r="64" ht="19.5" customHeight="1">
      <c r="A64" s="3"/>
      <c r="B64" s="3"/>
      <c r="C64" s="3"/>
      <c r="D64" s="3"/>
      <c r="E64" s="3"/>
      <c r="F64" s="3"/>
      <c r="G64" s="3"/>
    </row>
    <row r="65" ht="19.5" customHeight="1">
      <c r="A65" s="3"/>
      <c r="B65" s="3"/>
      <c r="C65" s="3"/>
      <c r="D65" s="3"/>
      <c r="E65" s="3"/>
      <c r="F65" s="3"/>
      <c r="G65" s="3"/>
    </row>
    <row r="66" ht="19.5" customHeight="1">
      <c r="A66" s="216" t="s">
        <v>1075</v>
      </c>
      <c r="B66" s="217" t="s">
        <v>1076</v>
      </c>
      <c r="C66" s="217" t="s">
        <v>1077</v>
      </c>
      <c r="D66" s="217" t="s">
        <v>1078</v>
      </c>
      <c r="E66" s="217" t="s">
        <v>1079</v>
      </c>
      <c r="F66" s="216"/>
      <c r="G66" s="216"/>
    </row>
    <row r="67" ht="19.5" customHeight="1">
      <c r="A67" s="3" t="s">
        <v>1080</v>
      </c>
      <c r="B67" s="4">
        <f>'Balance sheet'!C14-'Balance sheet'!C10</f>
        <v>68054</v>
      </c>
      <c r="C67" s="4">
        <f>'Balance sheet'!E14-'Balance sheet'!E10</f>
        <v>71068</v>
      </c>
      <c r="D67" s="4">
        <f>'Balance sheet'!G14-'Balance sheet'!G10</f>
        <v>79195</v>
      </c>
      <c r="E67" s="4">
        <f>'Balance sheet'!I14-'Balance sheet'!I10</f>
        <v>101050</v>
      </c>
      <c r="F67" s="3"/>
      <c r="G67" s="3"/>
    </row>
    <row r="68" ht="19.5" customHeight="1">
      <c r="A68" s="3" t="s">
        <v>1081</v>
      </c>
      <c r="B68" s="4">
        <f>'Balance sheet'!C32</f>
        <v>89122</v>
      </c>
      <c r="C68" s="4">
        <f>'Balance sheet'!E32</f>
        <v>87310</v>
      </c>
      <c r="D68" s="4">
        <f>'Balance sheet'!G32</f>
        <v>102745</v>
      </c>
      <c r="E68" s="4">
        <f>'Balance sheet'!I32</f>
        <v>126111</v>
      </c>
      <c r="F68" s="3"/>
      <c r="G68" s="3"/>
    </row>
    <row r="69" ht="19.5" customHeight="1">
      <c r="A69" s="3" t="s">
        <v>1082</v>
      </c>
      <c r="B69" s="4">
        <f>SUM('Sources and basis'!B36:B42)</f>
        <v>23518</v>
      </c>
      <c r="C69" s="4">
        <f>SUM('Sources and basis'!C36:C42)</f>
        <v>21623</v>
      </c>
      <c r="D69" s="4">
        <f>SUM('Sources and basis'!D36:D42)</f>
        <v>22209</v>
      </c>
      <c r="E69" s="4">
        <f>SUM('Sources and basis'!E36:E42)</f>
        <v>41062</v>
      </c>
      <c r="F69" s="3"/>
      <c r="G69" s="3"/>
    </row>
    <row r="70" ht="19.5" customHeight="1">
      <c r="A70" s="3" t="s">
        <v>1083</v>
      </c>
      <c r="B70" s="21">
        <f t="shared" ref="B70:E70" si="21">B68-B69</f>
        <v>65604</v>
      </c>
      <c r="C70" s="21">
        <f t="shared" si="21"/>
        <v>65687</v>
      </c>
      <c r="D70" s="21">
        <f t="shared" si="21"/>
        <v>80536</v>
      </c>
      <c r="E70" s="21">
        <f t="shared" si="21"/>
        <v>85049</v>
      </c>
      <c r="F70" s="3"/>
      <c r="G70" s="3"/>
    </row>
    <row r="71" ht="19.5" customHeight="1">
      <c r="A71" s="3" t="s">
        <v>1084</v>
      </c>
      <c r="B71" s="21">
        <f t="shared" ref="B71:E71" si="22">B67-B70</f>
        <v>2450</v>
      </c>
      <c r="C71" s="21">
        <f t="shared" si="22"/>
        <v>5381</v>
      </c>
      <c r="D71" s="21">
        <f t="shared" si="22"/>
        <v>-1341</v>
      </c>
      <c r="E71" s="21">
        <f t="shared" si="22"/>
        <v>16001</v>
      </c>
      <c r="F71" s="3"/>
      <c r="G71" s="3"/>
    </row>
    <row r="72" ht="19.5" customHeight="1">
      <c r="A72" s="3" t="s">
        <v>1085</v>
      </c>
      <c r="B72" s="4">
        <f>'Balance sheet'!C19</f>
        <v>171036</v>
      </c>
      <c r="C72" s="4">
        <f>'Balance sheet'!E19</f>
        <v>203231</v>
      </c>
      <c r="D72" s="4">
        <f>'Balance sheet'!G19</f>
        <v>246597</v>
      </c>
      <c r="E72" s="4">
        <f>'Balance sheet'!I19</f>
        <v>321212</v>
      </c>
      <c r="F72" s="3"/>
      <c r="G72" s="3"/>
    </row>
    <row r="73" ht="19.5" customHeight="1">
      <c r="A73" s="22" t="s">
        <v>1086</v>
      </c>
      <c r="B73" s="116">
        <f t="shared" ref="B73:E73" si="23">B71+B72</f>
        <v>173486</v>
      </c>
      <c r="C73" s="116">
        <f t="shared" si="23"/>
        <v>208612</v>
      </c>
      <c r="D73" s="116">
        <f t="shared" si="23"/>
        <v>245256</v>
      </c>
      <c r="E73" s="116">
        <f t="shared" si="23"/>
        <v>337213</v>
      </c>
      <c r="F73" s="22"/>
      <c r="G73" s="22"/>
    </row>
    <row r="74" ht="19.5" customHeight="1">
      <c r="A74" s="3" t="s">
        <v>1087</v>
      </c>
      <c r="B74" s="4">
        <f>'Sources and basis'!B43</f>
        <v>50597</v>
      </c>
      <c r="C74" s="4">
        <f>'Sources and basis'!C43</f>
        <v>61700</v>
      </c>
      <c r="D74" s="4">
        <f>'Sources and basis'!D43</f>
        <v>78592</v>
      </c>
      <c r="E74" s="4">
        <f>'Sources and basis'!E43</f>
        <v>122814</v>
      </c>
      <c r="F74" s="3"/>
      <c r="G74" s="3"/>
    </row>
    <row r="75" ht="19.5" customHeight="1">
      <c r="A75" s="3" t="s">
        <v>1088</v>
      </c>
      <c r="B75" s="21">
        <f t="shared" ref="B75:E75" si="24">B72-B74</f>
        <v>120439</v>
      </c>
      <c r="C75" s="21">
        <f t="shared" si="24"/>
        <v>141531</v>
      </c>
      <c r="D75" s="21">
        <f t="shared" si="24"/>
        <v>168005</v>
      </c>
      <c r="E75" s="21">
        <f t="shared" si="24"/>
        <v>198398</v>
      </c>
      <c r="F75" s="3"/>
      <c r="G75" s="3"/>
    </row>
    <row r="76" ht="19.5" customHeight="1">
      <c r="A76" s="3" t="s">
        <v>1089</v>
      </c>
      <c r="B76" s="29">
        <f t="shared" ref="B76:E76" si="25">B74/B72</f>
        <v>0.2958266096</v>
      </c>
      <c r="C76" s="29">
        <f t="shared" si="25"/>
        <v>0.3035954161</v>
      </c>
      <c r="D76" s="29">
        <f t="shared" si="25"/>
        <v>0.3187062292</v>
      </c>
      <c r="E76" s="29">
        <f t="shared" si="25"/>
        <v>0.382345616</v>
      </c>
      <c r="F76" s="3"/>
      <c r="G76" s="3"/>
    </row>
    <row r="77" ht="19.5" customHeight="1">
      <c r="A77" s="3"/>
      <c r="B77" s="3"/>
      <c r="C77" s="3"/>
      <c r="D77" s="3"/>
      <c r="E77" s="3"/>
      <c r="F77" s="3"/>
      <c r="G77" s="3"/>
    </row>
    <row r="78" ht="19.5" customHeight="1">
      <c r="A78" s="3"/>
      <c r="B78" s="3"/>
      <c r="C78" s="3"/>
      <c r="D78" s="3"/>
      <c r="E78" s="3"/>
      <c r="F78" s="3"/>
      <c r="G78" s="3"/>
    </row>
    <row r="79" ht="19.5" customHeight="1">
      <c r="A79" s="216" t="s">
        <v>1090</v>
      </c>
      <c r="B79" s="216" t="s">
        <v>1033</v>
      </c>
      <c r="C79" s="216" t="s">
        <v>341</v>
      </c>
      <c r="D79" s="218" t="s">
        <v>1091</v>
      </c>
      <c r="E79" s="218" t="s">
        <v>1092</v>
      </c>
      <c r="F79" s="218" t="s">
        <v>1093</v>
      </c>
      <c r="G79" s="218" t="s">
        <v>1094</v>
      </c>
    </row>
    <row r="80" ht="19.5" customHeight="1">
      <c r="A80" s="3" t="s">
        <v>375</v>
      </c>
      <c r="B80" s="21">
        <f>C30</f>
        <v>101940.81</v>
      </c>
      <c r="C80" s="21">
        <f>F30</f>
        <v>116626.12</v>
      </c>
      <c r="D80" s="21">
        <f t="shared" ref="D80:E80" si="26">B80</f>
        <v>101940.81</v>
      </c>
      <c r="E80" s="21">
        <f t="shared" si="26"/>
        <v>116626.12</v>
      </c>
      <c r="F80" s="18" t="s">
        <v>1095</v>
      </c>
      <c r="G80" s="219">
        <v>9830.0</v>
      </c>
    </row>
    <row r="81" ht="19.5" customHeight="1">
      <c r="A81" s="3" t="s">
        <v>1096</v>
      </c>
      <c r="B81" s="21">
        <f t="shared" ref="B81:C81" si="27">B73</f>
        <v>173486</v>
      </c>
      <c r="C81" s="21">
        <f t="shared" si="27"/>
        <v>208612</v>
      </c>
      <c r="D81" s="21">
        <f>B81+G80+B118</f>
        <v>190316.36</v>
      </c>
      <c r="E81" s="21">
        <f>C81+G81+C118</f>
        <v>224538.98</v>
      </c>
      <c r="F81" s="18" t="s">
        <v>1097</v>
      </c>
      <c r="G81" s="219">
        <v>8499.0</v>
      </c>
    </row>
    <row r="82" ht="19.5" customHeight="1">
      <c r="A82" s="3" t="s">
        <v>1098</v>
      </c>
      <c r="B82" s="21">
        <f t="shared" ref="B82:C82" si="28">D73</f>
        <v>245256</v>
      </c>
      <c r="C82" s="21">
        <f t="shared" si="28"/>
        <v>337213</v>
      </c>
      <c r="D82" s="21">
        <f>B82+G82+D118</f>
        <v>268906.72</v>
      </c>
      <c r="E82" s="21">
        <f>C82+G83-G84+E118</f>
        <v>356386.32</v>
      </c>
      <c r="F82" s="18" t="s">
        <v>1099</v>
      </c>
      <c r="G82" s="220">
        <f>'Working capital'!B25</f>
        <v>15594</v>
      </c>
    </row>
    <row r="83" ht="19.5" customHeight="1">
      <c r="A83" s="22" t="s">
        <v>1100</v>
      </c>
      <c r="B83" s="116">
        <f t="shared" ref="B83:E83" si="29">AVERAGE(B81:B82)</f>
        <v>209371</v>
      </c>
      <c r="C83" s="116">
        <f t="shared" si="29"/>
        <v>272912.5</v>
      </c>
      <c r="D83" s="116">
        <f t="shared" si="29"/>
        <v>229611.54</v>
      </c>
      <c r="E83" s="116">
        <f t="shared" si="29"/>
        <v>290462.65</v>
      </c>
      <c r="F83" s="221" t="s">
        <v>1101</v>
      </c>
      <c r="G83" s="222">
        <f>'Working capital'!C25</f>
        <v>17356</v>
      </c>
    </row>
    <row r="84" ht="19.5" customHeight="1">
      <c r="A84" s="22" t="s">
        <v>1102</v>
      </c>
      <c r="B84" s="146">
        <f t="shared" ref="B84:E84" si="30">B80/B83</f>
        <v>0.4868907824</v>
      </c>
      <c r="C84" s="146">
        <f t="shared" si="30"/>
        <v>0.4273388723</v>
      </c>
      <c r="D84" s="146">
        <f t="shared" si="30"/>
        <v>0.4439707604</v>
      </c>
      <c r="E84" s="146">
        <f t="shared" si="30"/>
        <v>0.4015184741</v>
      </c>
      <c r="F84" s="221" t="s">
        <v>1103</v>
      </c>
      <c r="G84" s="222">
        <f>'Working capital'!C11</f>
        <v>7100</v>
      </c>
    </row>
    <row r="85" ht="19.5" customHeight="1">
      <c r="A85" s="3"/>
      <c r="B85" s="3"/>
      <c r="C85" s="3"/>
      <c r="D85" s="3"/>
      <c r="E85" s="3"/>
      <c r="F85" s="3"/>
      <c r="G85" s="3"/>
    </row>
    <row r="86" ht="34.5" customHeight="1">
      <c r="A86" s="2" t="s">
        <v>1104</v>
      </c>
    </row>
    <row r="87" ht="19.5" customHeight="1">
      <c r="A87" s="3"/>
      <c r="B87" s="3"/>
      <c r="C87" s="3"/>
      <c r="D87" s="3"/>
      <c r="E87" s="3"/>
      <c r="F87" s="3"/>
      <c r="G87" s="3"/>
    </row>
    <row r="88" ht="19.5" customHeight="1">
      <c r="A88" s="3"/>
      <c r="B88" s="3"/>
      <c r="C88" s="3"/>
      <c r="D88" s="3"/>
      <c r="E88" s="3"/>
      <c r="F88" s="3"/>
      <c r="G88" s="3"/>
    </row>
    <row r="89" ht="19.5" customHeight="1">
      <c r="A89" s="216" t="s">
        <v>1105</v>
      </c>
      <c r="B89" s="216" t="s">
        <v>1106</v>
      </c>
      <c r="C89" s="216" t="s">
        <v>1107</v>
      </c>
      <c r="D89" s="216"/>
      <c r="E89" s="216"/>
      <c r="F89" s="216"/>
      <c r="G89" s="216"/>
    </row>
    <row r="90" ht="19.5" customHeight="1">
      <c r="A90" s="3" t="s">
        <v>625</v>
      </c>
      <c r="B90" s="223">
        <f>C16-'Sources and basis'!B75</f>
        <v>0</v>
      </c>
      <c r="C90" s="223">
        <f>F16-'Sources and basis'!C75</f>
        <v>0</v>
      </c>
      <c r="D90" s="145"/>
      <c r="E90" s="145"/>
      <c r="F90" s="145"/>
      <c r="G90" s="3"/>
    </row>
    <row r="91" ht="19.5" customHeight="1">
      <c r="A91" s="3" t="s">
        <v>627</v>
      </c>
      <c r="B91" s="223">
        <f>C24-'Sources and basis'!B76</f>
        <v>0</v>
      </c>
      <c r="C91" s="223">
        <f>F24-'Sources and basis'!C76</f>
        <v>0</v>
      </c>
      <c r="D91" s="145"/>
      <c r="E91" s="145"/>
      <c r="F91" s="145"/>
      <c r="G91" s="3"/>
    </row>
    <row r="92" ht="19.5" customHeight="1">
      <c r="A92" s="3" t="s">
        <v>375</v>
      </c>
      <c r="B92" s="223">
        <f>C30-'Sources and basis'!B77</f>
        <v>0</v>
      </c>
      <c r="C92" s="223">
        <f>F30-'Sources and basis'!C77</f>
        <v>0</v>
      </c>
      <c r="D92" s="145"/>
      <c r="E92" s="145"/>
      <c r="F92" s="145"/>
      <c r="G92" s="3"/>
    </row>
    <row r="93" ht="19.5" customHeight="1">
      <c r="A93" s="3" t="s">
        <v>1100</v>
      </c>
      <c r="B93" s="223">
        <f>B83-'Sources and basis'!B78</f>
        <v>0</v>
      </c>
      <c r="C93" s="223">
        <f>C83-'Sources and basis'!C78</f>
        <v>0</v>
      </c>
      <c r="D93" s="145"/>
      <c r="E93" s="145"/>
      <c r="F93" s="145"/>
      <c r="G93" s="3"/>
    </row>
    <row r="94" ht="19.5" customHeight="1">
      <c r="A94" s="3" t="s">
        <v>1051</v>
      </c>
      <c r="B94" s="223">
        <f>C36-'Sources and basis'!B79</f>
        <v>0</v>
      </c>
      <c r="C94" s="223">
        <f>F36-'Sources and basis'!C79</f>
        <v>0</v>
      </c>
      <c r="D94" s="145"/>
      <c r="E94" s="145"/>
      <c r="F94" s="145"/>
      <c r="G94" s="3"/>
    </row>
    <row r="95" ht="19.5" customHeight="1">
      <c r="A95" s="3" t="s">
        <v>1053</v>
      </c>
      <c r="B95" s="223">
        <f>C38-'Sources and basis'!B80</f>
        <v>0</v>
      </c>
      <c r="C95" s="223">
        <f>F38-'Sources and basis'!C80</f>
        <v>0</v>
      </c>
      <c r="D95" s="145"/>
      <c r="E95" s="145"/>
      <c r="F95" s="145"/>
      <c r="G95" s="3"/>
    </row>
    <row r="96" ht="19.5" customHeight="1">
      <c r="A96" s="3"/>
      <c r="B96" s="3"/>
      <c r="C96" s="3"/>
      <c r="D96" s="3"/>
      <c r="E96" s="3"/>
      <c r="F96" s="3"/>
      <c r="G96" s="3"/>
    </row>
    <row r="97" ht="19.5" customHeight="1">
      <c r="A97" s="3"/>
      <c r="B97" s="3"/>
      <c r="C97" s="3"/>
      <c r="D97" s="3"/>
      <c r="E97" s="3"/>
      <c r="F97" s="3"/>
      <c r="G97" s="3"/>
    </row>
    <row r="98" ht="19.5" customHeight="1">
      <c r="A98" s="216" t="s">
        <v>1108</v>
      </c>
      <c r="B98" s="216" t="s">
        <v>1109</v>
      </c>
      <c r="C98" s="216" t="s">
        <v>1110</v>
      </c>
      <c r="D98" s="216" t="s">
        <v>1111</v>
      </c>
      <c r="E98" s="216" t="s">
        <v>1032</v>
      </c>
      <c r="F98" s="216" t="s">
        <v>1033</v>
      </c>
      <c r="G98" s="216" t="s">
        <v>1112</v>
      </c>
    </row>
    <row r="99" ht="19.5" customHeight="1">
      <c r="A99" s="3" t="s">
        <v>625</v>
      </c>
      <c r="B99" s="4">
        <f>'Sources and basis'!B61</f>
        <v>257637</v>
      </c>
      <c r="C99" s="4">
        <f>'Sources and basis'!C61</f>
        <v>282836</v>
      </c>
      <c r="D99" s="4">
        <f>'Sources and basis'!D61</f>
        <v>307394</v>
      </c>
      <c r="E99" s="4">
        <f>'Sources and basis'!E61</f>
        <v>350018</v>
      </c>
      <c r="F99" s="4">
        <f>'Sources and basis'!F61</f>
        <v>402836</v>
      </c>
      <c r="G99" s="29">
        <f t="shared" ref="G99:G103" si="31">(F99/B99)^(1/4)-1</f>
        <v>0.118227093</v>
      </c>
    </row>
    <row r="100" ht="19.5" customHeight="1">
      <c r="A100" s="3" t="s">
        <v>1113</v>
      </c>
      <c r="B100" s="4">
        <f>'Sources and basis'!B62</f>
        <v>78714</v>
      </c>
      <c r="C100" s="4">
        <f>'Sources and basis'!C62</f>
        <v>74842</v>
      </c>
      <c r="D100" s="4">
        <f>'Sources and basis'!D62</f>
        <v>84293</v>
      </c>
      <c r="E100" s="4">
        <f>'Sources and basis'!E62</f>
        <v>112390</v>
      </c>
      <c r="F100" s="4">
        <f>'Sources and basis'!F62</f>
        <v>129039</v>
      </c>
      <c r="G100" s="29">
        <f t="shared" si="31"/>
        <v>0.1315330713</v>
      </c>
    </row>
    <row r="101" ht="19.5" customHeight="1">
      <c r="A101" s="3" t="s">
        <v>1114</v>
      </c>
      <c r="B101" s="4">
        <f>'Sources and basis'!B63</f>
        <v>237529</v>
      </c>
      <c r="C101" s="4">
        <f>'Sources and basis'!C63</f>
        <v>253528</v>
      </c>
      <c r="D101" s="4">
        <f>'Sources and basis'!D63</f>
        <v>272543</v>
      </c>
      <c r="E101" s="4">
        <f>'Sources and basis'!E63</f>
        <v>304930</v>
      </c>
      <c r="F101" s="4">
        <f>'Sources and basis'!F63</f>
        <v>342721</v>
      </c>
      <c r="G101" s="29">
        <f t="shared" si="31"/>
        <v>0.095988555</v>
      </c>
    </row>
    <row r="102" ht="19.5" customHeight="1">
      <c r="A102" s="3" t="s">
        <v>1115</v>
      </c>
      <c r="B102" s="4">
        <f>'Sources and basis'!B64</f>
        <v>88132</v>
      </c>
      <c r="C102" s="4">
        <f>'Sources and basis'!C64</f>
        <v>82699</v>
      </c>
      <c r="D102" s="4">
        <f>'Sources and basis'!D64</f>
        <v>95858</v>
      </c>
      <c r="E102" s="4">
        <f>'Sources and basis'!E64</f>
        <v>121263</v>
      </c>
      <c r="F102" s="4">
        <f>'Sources and basis'!F64</f>
        <v>139404</v>
      </c>
      <c r="G102" s="29">
        <f t="shared" si="31"/>
        <v>0.1214641692</v>
      </c>
    </row>
    <row r="103" ht="19.5" customHeight="1">
      <c r="A103" s="3" t="s">
        <v>1116</v>
      </c>
      <c r="B103" s="4">
        <f>'Sources and basis'!B65</f>
        <v>19206</v>
      </c>
      <c r="C103" s="4">
        <f>'Sources and basis'!C65</f>
        <v>26280</v>
      </c>
      <c r="D103" s="4">
        <f>'Sources and basis'!D65</f>
        <v>33088</v>
      </c>
      <c r="E103" s="4">
        <f>'Sources and basis'!E65</f>
        <v>43229</v>
      </c>
      <c r="F103" s="4">
        <f>'Sources and basis'!F65</f>
        <v>58705</v>
      </c>
      <c r="G103" s="29">
        <f t="shared" si="31"/>
        <v>0.322237719</v>
      </c>
    </row>
    <row r="104" ht="19.5" customHeight="1">
      <c r="A104" s="3" t="s">
        <v>1117</v>
      </c>
      <c r="B104" s="4">
        <f>'Sources and basis'!B66</f>
        <v>-2282</v>
      </c>
      <c r="C104" s="4">
        <f>'Sources and basis'!C66</f>
        <v>-1922</v>
      </c>
      <c r="D104" s="4">
        <f>'Sources and basis'!D66</f>
        <v>1716</v>
      </c>
      <c r="E104" s="4">
        <f>'Sources and basis'!E66</f>
        <v>6112</v>
      </c>
      <c r="F104" s="4">
        <f>'Sources and basis'!F66</f>
        <v>13910</v>
      </c>
      <c r="G104" s="29"/>
    </row>
    <row r="105" ht="19.5" customHeight="1">
      <c r="A105" s="3" t="s">
        <v>1085</v>
      </c>
      <c r="B105" s="4">
        <f>'Sources and basis'!B67</f>
        <v>97599</v>
      </c>
      <c r="C105" s="4">
        <f>'Sources and basis'!C67</f>
        <v>112668</v>
      </c>
      <c r="D105" s="4">
        <f>'Sources and basis'!D67</f>
        <v>134345</v>
      </c>
      <c r="E105" s="4">
        <f>'Sources and basis'!E67</f>
        <v>171036</v>
      </c>
      <c r="F105" s="4">
        <f>'Sources and basis'!F67</f>
        <v>246597</v>
      </c>
      <c r="G105" s="29">
        <f t="shared" ref="G105:G109" si="32">(F105/B105)^(1/4)-1</f>
        <v>0.2607692423</v>
      </c>
    </row>
    <row r="106" ht="19.5" customHeight="1">
      <c r="A106" s="3" t="s">
        <v>1050</v>
      </c>
      <c r="B106" s="4">
        <f>'Sources and basis'!B68</f>
        <v>91652</v>
      </c>
      <c r="C106" s="4">
        <f>'Sources and basis'!C68</f>
        <v>91495</v>
      </c>
      <c r="D106" s="4">
        <f>'Sources and basis'!D68</f>
        <v>101746</v>
      </c>
      <c r="E106" s="4">
        <f>'Sources and basis'!E68</f>
        <v>125299</v>
      </c>
      <c r="F106" s="4">
        <f>'Sources and basis'!F68</f>
        <v>164713</v>
      </c>
      <c r="G106" s="29">
        <f t="shared" si="32"/>
        <v>0.157834491</v>
      </c>
    </row>
    <row r="107" ht="19.5" customHeight="1">
      <c r="A107" s="3" t="s">
        <v>376</v>
      </c>
      <c r="B107" s="4">
        <f>'Sources and basis'!B69</f>
        <v>24640</v>
      </c>
      <c r="C107" s="4">
        <f>'Sources and basis'!C69</f>
        <v>31485</v>
      </c>
      <c r="D107" s="4">
        <f>'Sources and basis'!D69</f>
        <v>32251</v>
      </c>
      <c r="E107" s="4">
        <f>'Sources and basis'!E69</f>
        <v>52535</v>
      </c>
      <c r="F107" s="4">
        <f>'Sources and basis'!F69</f>
        <v>91447</v>
      </c>
      <c r="G107" s="29">
        <f t="shared" si="32"/>
        <v>0.3879767451</v>
      </c>
    </row>
    <row r="108" ht="19.5" customHeight="1">
      <c r="A108" s="3" t="s">
        <v>1052</v>
      </c>
      <c r="B108" s="4">
        <f>'Sources and basis'!B70</f>
        <v>15376</v>
      </c>
      <c r="C108" s="4">
        <f>'Sources and basis'!C70</f>
        <v>19362</v>
      </c>
      <c r="D108" s="4">
        <f>'Sources and basis'!D70</f>
        <v>22460</v>
      </c>
      <c r="E108" s="4">
        <f>'Sources and basis'!E70</f>
        <v>22785</v>
      </c>
      <c r="F108" s="4">
        <f>'Sources and basis'!F70</f>
        <v>24953</v>
      </c>
      <c r="G108" s="29">
        <f t="shared" si="32"/>
        <v>0.128677452</v>
      </c>
    </row>
    <row r="109" ht="19.5" customHeight="1">
      <c r="A109" s="3" t="s">
        <v>1054</v>
      </c>
      <c r="B109" s="4">
        <f>'Sources and basis'!B71</f>
        <v>10273</v>
      </c>
      <c r="C109" s="4">
        <f>'Sources and basis'!C71</f>
        <v>13475</v>
      </c>
      <c r="D109" s="4">
        <f>'Sources and basis'!D71</f>
        <v>11946</v>
      </c>
      <c r="E109" s="4">
        <f>'Sources and basis'!E71</f>
        <v>15311</v>
      </c>
      <c r="F109" s="4">
        <f>'Sources and basis'!F71</f>
        <v>21136</v>
      </c>
      <c r="G109" s="29">
        <f t="shared" si="32"/>
        <v>0.1976540241</v>
      </c>
    </row>
    <row r="110" ht="19.5" customHeight="1">
      <c r="A110" s="3"/>
      <c r="B110" s="3"/>
      <c r="C110" s="3"/>
      <c r="D110" s="3"/>
      <c r="E110" s="3"/>
      <c r="F110" s="3"/>
      <c r="G110" s="3"/>
    </row>
    <row r="111" ht="19.5" customHeight="1">
      <c r="A111" s="3"/>
      <c r="B111" s="3"/>
      <c r="C111" s="3"/>
      <c r="D111" s="3"/>
      <c r="E111" s="3"/>
      <c r="F111" s="3"/>
      <c r="G111" s="3"/>
    </row>
    <row r="112" ht="19.5" customHeight="1">
      <c r="A112" s="3" t="s">
        <v>1051</v>
      </c>
      <c r="B112" s="21">
        <f t="shared" ref="B112:F112" si="33">B106-B107</f>
        <v>67012</v>
      </c>
      <c r="C112" s="21">
        <f t="shared" si="33"/>
        <v>60010</v>
      </c>
      <c r="D112" s="21">
        <f t="shared" si="33"/>
        <v>69495</v>
      </c>
      <c r="E112" s="21">
        <f t="shared" si="33"/>
        <v>72764</v>
      </c>
      <c r="F112" s="21">
        <f t="shared" si="33"/>
        <v>73266</v>
      </c>
      <c r="G112" s="29">
        <f t="shared" ref="G112:G113" si="35">(F112/B112)^(1/4)-1</f>
        <v>0.02255688083</v>
      </c>
    </row>
    <row r="113" ht="19.5" customHeight="1">
      <c r="A113" s="3" t="s">
        <v>1053</v>
      </c>
      <c r="B113" s="21">
        <f t="shared" ref="B113:F113" si="34">B112-B108</f>
        <v>51636</v>
      </c>
      <c r="C113" s="21">
        <f t="shared" si="34"/>
        <v>40648</v>
      </c>
      <c r="D113" s="21">
        <f t="shared" si="34"/>
        <v>47035</v>
      </c>
      <c r="E113" s="21">
        <f t="shared" si="34"/>
        <v>49979</v>
      </c>
      <c r="F113" s="21">
        <f t="shared" si="34"/>
        <v>48313</v>
      </c>
      <c r="G113" s="29">
        <f t="shared" si="35"/>
        <v>-0.01649209839</v>
      </c>
    </row>
    <row r="116">
      <c r="A116" s="224" t="s">
        <v>1118</v>
      </c>
      <c r="B116" s="225" t="s">
        <v>1076</v>
      </c>
      <c r="C116" s="225" t="s">
        <v>1077</v>
      </c>
      <c r="D116" s="226" t="s">
        <v>1078</v>
      </c>
      <c r="E116" s="226" t="s">
        <v>1079</v>
      </c>
    </row>
    <row r="117">
      <c r="A117" s="24" t="s">
        <v>1119</v>
      </c>
      <c r="B117" s="116">
        <f>B16</f>
        <v>350018</v>
      </c>
      <c r="C117" s="116">
        <f>B16+D16-B120</f>
        <v>371399</v>
      </c>
      <c r="D117" s="116">
        <f>C16</f>
        <v>402836</v>
      </c>
      <c r="E117" s="116">
        <f>F16</f>
        <v>445866</v>
      </c>
    </row>
    <row r="118">
      <c r="A118" s="24" t="s">
        <v>1120</v>
      </c>
      <c r="B118" s="116">
        <f>B117*'Financial assets'!$B$30</f>
        <v>7000.36</v>
      </c>
      <c r="C118" s="116">
        <f>C117*'Financial assets'!$B$30</f>
        <v>7427.98</v>
      </c>
      <c r="D118" s="116">
        <f>D117*'Financial assets'!$B$30</f>
        <v>8056.72</v>
      </c>
      <c r="E118" s="116">
        <f>E117*'Financial assets'!$B$30</f>
        <v>8917.32</v>
      </c>
    </row>
    <row r="119">
      <c r="A119" s="22"/>
      <c r="B119" s="116"/>
      <c r="C119" s="116"/>
      <c r="D119" s="116"/>
      <c r="E119" s="116"/>
    </row>
    <row r="120">
      <c r="A120" s="24" t="s">
        <v>1121</v>
      </c>
      <c r="B120" s="227">
        <v>165281.0</v>
      </c>
      <c r="C120" s="116"/>
      <c r="D120" s="116"/>
      <c r="E120" s="116"/>
    </row>
    <row r="124">
      <c r="A124" s="224" t="s">
        <v>1122</v>
      </c>
      <c r="B124" s="224" t="s">
        <v>1033</v>
      </c>
      <c r="C124" s="224" t="s">
        <v>341</v>
      </c>
    </row>
    <row r="125">
      <c r="A125" s="24" t="s">
        <v>1123</v>
      </c>
      <c r="B125" s="116">
        <f>C30</f>
        <v>101940.81</v>
      </c>
      <c r="C125" s="116">
        <f>F30</f>
        <v>116626.12</v>
      </c>
    </row>
    <row r="126">
      <c r="A126" s="24" t="s">
        <v>1054</v>
      </c>
      <c r="B126" s="116">
        <f>C39</f>
        <v>21136</v>
      </c>
      <c r="C126" s="116">
        <f>F39</f>
        <v>25237</v>
      </c>
    </row>
    <row r="127">
      <c r="A127" s="24" t="s">
        <v>1124</v>
      </c>
      <c r="B127" s="116">
        <f>SUM(C46:C47,C49,C51:C52)</f>
        <v>-4553</v>
      </c>
      <c r="C127" s="116">
        <f>SUM(F46:F47,F49,F51:F52)</f>
        <v>-15206</v>
      </c>
    </row>
    <row r="128">
      <c r="A128" s="24" t="s">
        <v>1125</v>
      </c>
      <c r="B128" s="116">
        <f>SUM(B125:B127)-C35</f>
        <v>27076.81</v>
      </c>
      <c r="C128" s="116">
        <f>SUM(C125:C127)-F35</f>
        <v>-5744.88</v>
      </c>
    </row>
    <row r="129">
      <c r="A129" s="24" t="s">
        <v>1126</v>
      </c>
      <c r="B129" s="116">
        <f>C44</f>
        <v>2108</v>
      </c>
      <c r="C129" s="116">
        <f>F44</f>
        <v>4228</v>
      </c>
    </row>
    <row r="130">
      <c r="A130" s="24" t="s">
        <v>1127</v>
      </c>
      <c r="B130" s="116">
        <f>C48</f>
        <v>-4542</v>
      </c>
      <c r="C130" s="116">
        <f>F48</f>
        <v>-11725</v>
      </c>
    </row>
    <row r="131">
      <c r="A131" s="24" t="s">
        <v>1128</v>
      </c>
      <c r="B131" s="116">
        <f>C50</f>
        <v>12939</v>
      </c>
      <c r="C131" s="116">
        <f>F50</f>
        <v>14807</v>
      </c>
    </row>
    <row r="132">
      <c r="A132" s="24" t="s">
        <v>1129</v>
      </c>
      <c r="B132" s="116">
        <f t="shared" ref="B132:C132" si="36">SUM(B129:B131)</f>
        <v>10505</v>
      </c>
      <c r="C132" s="116">
        <f t="shared" si="36"/>
        <v>7310</v>
      </c>
    </row>
    <row r="133">
      <c r="A133" s="24" t="s">
        <v>1130</v>
      </c>
      <c r="B133" s="116">
        <f t="shared" ref="B133:C133" si="37">B128+B132</f>
        <v>37581.81</v>
      </c>
      <c r="C133" s="116">
        <f t="shared" si="37"/>
        <v>1565.12</v>
      </c>
    </row>
    <row r="134">
      <c r="A134" s="24" t="s">
        <v>1131</v>
      </c>
      <c r="B134" s="116">
        <f t="shared" ref="B134:C134" si="38">D118-B118</f>
        <v>1056.36</v>
      </c>
      <c r="C134" s="116">
        <f t="shared" si="38"/>
        <v>1489.34</v>
      </c>
    </row>
    <row r="135">
      <c r="A135" s="24" t="s">
        <v>1132</v>
      </c>
      <c r="B135" s="116">
        <f t="shared" ref="B135:C135" si="39">B133-B134</f>
        <v>36525.45</v>
      </c>
      <c r="C135" s="116">
        <f t="shared" si="39"/>
        <v>75.78</v>
      </c>
    </row>
    <row r="136">
      <c r="A136" s="24" t="s">
        <v>1133</v>
      </c>
      <c r="B136" s="116">
        <f>B133-C59</f>
        <v>0</v>
      </c>
      <c r="C136" s="116">
        <f>C133-F59</f>
        <v>0</v>
      </c>
    </row>
    <row r="138" ht="31.5" customHeight="1">
      <c r="A138" s="141" t="s">
        <v>1134</v>
      </c>
    </row>
    <row r="139" ht="31.5" customHeight="1">
      <c r="A139" s="141" t="s">
        <v>1135</v>
      </c>
    </row>
    <row r="140" ht="31.5" customHeight="1">
      <c r="A140" s="141" t="s">
        <v>1136</v>
      </c>
    </row>
  </sheetData>
  <mergeCells count="8">
    <mergeCell ref="A1:G1"/>
    <mergeCell ref="A2:G2"/>
    <mergeCell ref="A62:G62"/>
    <mergeCell ref="A63:G63"/>
    <mergeCell ref="A86:G86"/>
    <mergeCell ref="A138:G138"/>
    <mergeCell ref="A139:G139"/>
    <mergeCell ref="A140:G140"/>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1137</v>
      </c>
    </row>
    <row r="2" ht="27.0" customHeight="1">
      <c r="A2" s="229" t="s">
        <v>1138</v>
      </c>
    </row>
    <row r="4" ht="24.75" customHeight="1">
      <c r="A4" s="230" t="s">
        <v>1139</v>
      </c>
      <c r="B4" s="230" t="s">
        <v>1140</v>
      </c>
      <c r="C4" s="231" t="s">
        <v>1141</v>
      </c>
      <c r="D4" s="230" t="s">
        <v>1142</v>
      </c>
      <c r="E4" s="230" t="s">
        <v>1143</v>
      </c>
      <c r="F4" s="230" t="s">
        <v>1144</v>
      </c>
      <c r="G4" s="231" t="s">
        <v>1145</v>
      </c>
      <c r="H4" s="230" t="s">
        <v>1146</v>
      </c>
      <c r="I4" s="230" t="s">
        <v>1147</v>
      </c>
    </row>
    <row r="5" ht="24.75" customHeight="1">
      <c r="A5" s="232" t="s">
        <v>1148</v>
      </c>
      <c r="B5" s="232" t="s">
        <v>1149</v>
      </c>
      <c r="C5" s="232" t="s">
        <v>1150</v>
      </c>
      <c r="D5" s="232" t="s">
        <v>1149</v>
      </c>
      <c r="E5" s="232" t="s">
        <v>1149</v>
      </c>
      <c r="F5" s="232" t="s">
        <v>1149</v>
      </c>
      <c r="G5" s="232" t="s">
        <v>1150</v>
      </c>
      <c r="H5" s="232" t="s">
        <v>1149</v>
      </c>
      <c r="I5" s="232" t="s">
        <v>1149</v>
      </c>
    </row>
    <row r="7" ht="24.75" customHeight="1">
      <c r="A7" s="233" t="s">
        <v>625</v>
      </c>
      <c r="B7" s="233"/>
      <c r="C7" s="233"/>
      <c r="D7" s="233"/>
      <c r="E7" s="233"/>
      <c r="F7" s="233"/>
      <c r="G7" s="233"/>
      <c r="H7" s="233"/>
      <c r="I7" s="233"/>
    </row>
    <row r="8" ht="21.75" customHeight="1">
      <c r="A8" s="234" t="s">
        <v>1151</v>
      </c>
      <c r="B8" s="235">
        <v>88268.0</v>
      </c>
      <c r="C8" s="235">
        <v>350018.0</v>
      </c>
      <c r="D8" s="235">
        <v>90234.0</v>
      </c>
      <c r="E8" s="235">
        <v>96428.0</v>
      </c>
      <c r="F8" s="235">
        <v>102346.0</v>
      </c>
      <c r="G8" s="235">
        <v>402836.0</v>
      </c>
      <c r="H8" s="235">
        <v>109896.0</v>
      </c>
      <c r="I8" s="235">
        <v>119796.0</v>
      </c>
    </row>
    <row r="10" ht="24.75" customHeight="1">
      <c r="A10" s="233" t="s">
        <v>1152</v>
      </c>
      <c r="B10" s="233"/>
      <c r="C10" s="233"/>
      <c r="D10" s="233"/>
      <c r="E10" s="233"/>
      <c r="F10" s="233"/>
      <c r="G10" s="233"/>
      <c r="H10" s="233"/>
      <c r="I10" s="233"/>
    </row>
    <row r="11" ht="21.75" customHeight="1">
      <c r="A11" s="234" t="s">
        <v>1153</v>
      </c>
      <c r="B11" s="235">
        <v>36474.0</v>
      </c>
      <c r="C11" s="235">
        <v>146306.0</v>
      </c>
      <c r="D11" s="235">
        <v>36361.0</v>
      </c>
      <c r="E11" s="235">
        <v>39039.0</v>
      </c>
      <c r="F11" s="235">
        <v>41369.0</v>
      </c>
      <c r="G11" s="235">
        <v>162535.0</v>
      </c>
      <c r="H11" s="235">
        <v>41271.0</v>
      </c>
      <c r="I11" s="235">
        <v>45943.0</v>
      </c>
    </row>
    <row r="12" ht="21.75" customHeight="1">
      <c r="A12" s="234" t="s">
        <v>1154</v>
      </c>
      <c r="B12" s="235">
        <v>12447.0</v>
      </c>
      <c r="C12" s="235">
        <v>49326.0</v>
      </c>
      <c r="D12" s="235">
        <v>13556.0</v>
      </c>
      <c r="E12" s="235">
        <v>13808.0</v>
      </c>
      <c r="F12" s="235">
        <v>15151.0</v>
      </c>
      <c r="G12" s="235">
        <v>61087.0</v>
      </c>
      <c r="H12" s="235">
        <v>17032.0</v>
      </c>
      <c r="I12" s="235">
        <v>18219.0</v>
      </c>
    </row>
    <row r="13" ht="21.75" customHeight="1">
      <c r="A13" s="234" t="s">
        <v>1155</v>
      </c>
      <c r="B13" s="235">
        <v>7227.0</v>
      </c>
      <c r="C13" s="235">
        <v>27808.0</v>
      </c>
      <c r="D13" s="235">
        <v>6172.0</v>
      </c>
      <c r="E13" s="235">
        <v>7101.0</v>
      </c>
      <c r="F13" s="235">
        <v>7205.0</v>
      </c>
      <c r="G13" s="235">
        <v>28693.0</v>
      </c>
      <c r="H13" s="235">
        <v>7606.0</v>
      </c>
      <c r="I13" s="235">
        <v>8403.0</v>
      </c>
    </row>
    <row r="14" ht="21.75" customHeight="1">
      <c r="A14" s="234" t="s">
        <v>1156</v>
      </c>
      <c r="B14" s="235">
        <v>3599.0</v>
      </c>
      <c r="C14" s="235">
        <v>14188.0</v>
      </c>
      <c r="D14" s="235">
        <v>3539.0</v>
      </c>
      <c r="E14" s="235">
        <v>5209.0</v>
      </c>
      <c r="F14" s="235">
        <v>7393.0</v>
      </c>
      <c r="G14" s="235">
        <v>21482.0</v>
      </c>
      <c r="H14" s="235">
        <v>4291.0</v>
      </c>
      <c r="I14" s="235">
        <v>6461.0</v>
      </c>
    </row>
    <row r="15" ht="21.75" customHeight="1">
      <c r="A15" s="236" t="s">
        <v>1157</v>
      </c>
      <c r="B15" s="237">
        <v>59747.0</v>
      </c>
      <c r="C15" s="237">
        <v>237628.0</v>
      </c>
      <c r="D15" s="237">
        <v>59628.0</v>
      </c>
      <c r="E15" s="237">
        <v>65157.0</v>
      </c>
      <c r="F15" s="237">
        <v>71118.0</v>
      </c>
      <c r="G15" s="237">
        <v>273797.0</v>
      </c>
      <c r="H15" s="237">
        <v>70200.0</v>
      </c>
      <c r="I15" s="237">
        <v>79026.0</v>
      </c>
    </row>
    <row r="16" ht="21.75" customHeight="1">
      <c r="A16" s="236" t="s">
        <v>1158</v>
      </c>
      <c r="B16" s="237">
        <v>28521.0</v>
      </c>
      <c r="C16" s="237">
        <v>112390.0</v>
      </c>
      <c r="D16" s="237">
        <v>30606.0</v>
      </c>
      <c r="E16" s="237">
        <v>31271.0</v>
      </c>
      <c r="F16" s="237">
        <v>31228.0</v>
      </c>
      <c r="G16" s="237">
        <v>129039.0</v>
      </c>
      <c r="H16" s="237">
        <v>39696.0</v>
      </c>
      <c r="I16" s="237">
        <v>40770.0</v>
      </c>
    </row>
    <row r="18" ht="24.75" customHeight="1">
      <c r="A18" s="233" t="s">
        <v>1159</v>
      </c>
      <c r="B18" s="233"/>
      <c r="C18" s="233"/>
      <c r="D18" s="233"/>
      <c r="E18" s="233"/>
      <c r="F18" s="233"/>
      <c r="G18" s="233"/>
      <c r="H18" s="233"/>
      <c r="I18" s="233"/>
    </row>
    <row r="19" ht="21.75" customHeight="1">
      <c r="A19" s="234" t="s">
        <v>1160</v>
      </c>
      <c r="B19" s="235">
        <v>3185.0</v>
      </c>
      <c r="C19" s="235">
        <v>7425.0</v>
      </c>
      <c r="D19" s="235">
        <v>11183.0</v>
      </c>
      <c r="E19" s="235">
        <v>2662.0</v>
      </c>
      <c r="F19" s="235">
        <v>12759.0</v>
      </c>
      <c r="G19" s="235">
        <v>29787.0</v>
      </c>
      <c r="H19" s="235">
        <v>37716.0</v>
      </c>
      <c r="I19" s="235">
        <v>97983.0</v>
      </c>
    </row>
    <row r="20" ht="21.75" customHeight="1">
      <c r="A20" s="234" t="s">
        <v>1161</v>
      </c>
      <c r="B20" s="235">
        <v>31706.0</v>
      </c>
      <c r="C20" s="235">
        <v>119815.0</v>
      </c>
      <c r="D20" s="235">
        <v>41789.0</v>
      </c>
      <c r="E20" s="235">
        <v>33933.0</v>
      </c>
      <c r="F20" s="235">
        <v>43987.0</v>
      </c>
      <c r="G20" s="235">
        <v>158826.0</v>
      </c>
      <c r="H20" s="235">
        <v>77412.0</v>
      </c>
      <c r="I20" s="235">
        <v>138753.0</v>
      </c>
    </row>
    <row r="21" ht="21.75" customHeight="1">
      <c r="A21" s="234" t="s">
        <v>1162</v>
      </c>
      <c r="B21" s="235">
        <v>5405.0</v>
      </c>
      <c r="C21" s="235">
        <v>19697.0</v>
      </c>
      <c r="D21" s="235">
        <v>7249.0</v>
      </c>
      <c r="E21" s="235">
        <v>5737.0</v>
      </c>
      <c r="F21" s="235">
        <v>9008.0</v>
      </c>
      <c r="G21" s="235">
        <v>26656.0</v>
      </c>
      <c r="H21" s="235">
        <v>14834.0</v>
      </c>
      <c r="I21" s="235">
        <v>26560.0</v>
      </c>
    </row>
    <row r="22" ht="21.75" customHeight="1">
      <c r="A22" s="236" t="s">
        <v>1055</v>
      </c>
      <c r="B22" s="237">
        <v>26301.0</v>
      </c>
      <c r="C22" s="237">
        <v>100118.0</v>
      </c>
      <c r="D22" s="237">
        <v>34540.0</v>
      </c>
      <c r="E22" s="237">
        <v>28196.0</v>
      </c>
      <c r="F22" s="237">
        <v>34979.0</v>
      </c>
      <c r="G22" s="237">
        <v>132170.0</v>
      </c>
      <c r="H22" s="237">
        <v>62578.0</v>
      </c>
      <c r="I22" s="237">
        <v>112193.0</v>
      </c>
    </row>
    <row r="23"/>
    <row r="24" ht="24.75" customHeight="1">
      <c r="A24" s="233" t="s">
        <v>1163</v>
      </c>
      <c r="B24" s="233"/>
      <c r="C24" s="233"/>
      <c r="D24" s="233"/>
      <c r="E24" s="233"/>
      <c r="F24" s="233"/>
      <c r="G24" s="233"/>
      <c r="H24" s="233"/>
      <c r="I24" s="233"/>
    </row>
    <row r="25" ht="21.75" customHeight="1">
      <c r="A25" s="234" t="s">
        <v>1164</v>
      </c>
      <c r="B25" s="235"/>
      <c r="C25" s="235"/>
      <c r="D25" s="235"/>
      <c r="E25" s="235"/>
      <c r="F25" s="235"/>
      <c r="G25" s="235"/>
      <c r="H25" s="235"/>
      <c r="I25" s="235">
        <v>86.0</v>
      </c>
    </row>
    <row r="26" ht="21.75" customHeight="1">
      <c r="A26" s="234" t="s">
        <v>1165</v>
      </c>
      <c r="B26" s="235"/>
      <c r="C26" s="235"/>
      <c r="D26" s="235"/>
      <c r="E26" s="235"/>
      <c r="F26" s="235"/>
      <c r="G26" s="235"/>
      <c r="H26" s="235"/>
      <c r="I26" s="235">
        <v>112107.0</v>
      </c>
    </row>
    <row r="27" ht="21.75" customHeight="1">
      <c r="A27" s="234" t="s">
        <v>1166</v>
      </c>
      <c r="B27" s="238">
        <v>2.14</v>
      </c>
      <c r="C27" s="238">
        <v>8.13</v>
      </c>
      <c r="D27" s="238">
        <v>2.84</v>
      </c>
      <c r="E27" s="238">
        <v>2.33</v>
      </c>
      <c r="F27" s="238">
        <v>2.89</v>
      </c>
      <c r="G27" s="238">
        <v>10.91</v>
      </c>
      <c r="H27" s="238">
        <v>5.17</v>
      </c>
      <c r="I27" s="238">
        <v>9.23</v>
      </c>
    </row>
    <row r="28" ht="21.75" customHeight="1">
      <c r="A28" s="234" t="s">
        <v>1167</v>
      </c>
      <c r="B28" s="238">
        <v>2.12</v>
      </c>
      <c r="C28" s="238">
        <v>8.04</v>
      </c>
      <c r="D28" s="238">
        <v>2.81</v>
      </c>
      <c r="E28" s="238">
        <v>2.31</v>
      </c>
      <c r="F28" s="238">
        <v>2.87</v>
      </c>
      <c r="G28" s="238">
        <v>10.81</v>
      </c>
      <c r="H28" s="238">
        <v>5.11</v>
      </c>
      <c r="I28" s="238">
        <v>9.11</v>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5.0"/>
    <col customWidth="1" min="2" max="9" width="17.0"/>
    <col customWidth="1" min="10" max="26" width="8.63"/>
  </cols>
  <sheetData>
    <row r="1" ht="33.75" customHeight="1">
      <c r="A1" s="228" t="s">
        <v>1168</v>
      </c>
    </row>
    <row r="2" ht="27.0" customHeight="1">
      <c r="A2" s="229" t="s">
        <v>1169</v>
      </c>
    </row>
    <row r="4" ht="24.75" customHeight="1">
      <c r="A4" s="230" t="s">
        <v>1139</v>
      </c>
      <c r="B4" s="230" t="s">
        <v>1140</v>
      </c>
      <c r="C4" s="230" t="s">
        <v>1141</v>
      </c>
      <c r="D4" s="230" t="s">
        <v>1142</v>
      </c>
      <c r="E4" s="230" t="s">
        <v>1143</v>
      </c>
      <c r="F4" s="230" t="s">
        <v>1144</v>
      </c>
      <c r="G4" s="230" t="s">
        <v>1145</v>
      </c>
      <c r="H4" s="230" t="s">
        <v>1146</v>
      </c>
      <c r="I4" s="230" t="s">
        <v>1147</v>
      </c>
    </row>
    <row r="5" ht="24.75" customHeight="1">
      <c r="A5" s="232" t="s">
        <v>1148</v>
      </c>
      <c r="B5" s="232" t="s">
        <v>1170</v>
      </c>
      <c r="C5" s="232" t="s">
        <v>1171</v>
      </c>
      <c r="D5" s="232" t="s">
        <v>1172</v>
      </c>
      <c r="E5" s="232" t="s">
        <v>1173</v>
      </c>
      <c r="F5" s="232" t="s">
        <v>1174</v>
      </c>
      <c r="G5" s="232" t="s">
        <v>1175</v>
      </c>
      <c r="H5" s="232" t="s">
        <v>1176</v>
      </c>
      <c r="I5" s="232" t="s">
        <v>1177</v>
      </c>
    </row>
    <row r="7" ht="24.75" customHeight="1">
      <c r="A7" s="233" t="s">
        <v>1178</v>
      </c>
      <c r="B7" s="233"/>
      <c r="C7" s="233"/>
      <c r="D7" s="233"/>
      <c r="E7" s="233"/>
      <c r="F7" s="233"/>
      <c r="G7" s="233"/>
      <c r="H7" s="233"/>
      <c r="I7" s="233"/>
    </row>
    <row r="8" ht="21.75" customHeight="1">
      <c r="A8" s="234" t="s">
        <v>1179</v>
      </c>
      <c r="B8" s="235">
        <v>19959.0</v>
      </c>
      <c r="C8" s="235">
        <v>23466.0</v>
      </c>
      <c r="D8" s="235">
        <v>23264.0</v>
      </c>
      <c r="E8" s="235">
        <v>21036.0</v>
      </c>
      <c r="F8" s="235">
        <v>23090.0</v>
      </c>
      <c r="G8" s="235">
        <v>30708.0</v>
      </c>
      <c r="H8" s="235">
        <v>38063.0</v>
      </c>
      <c r="I8" s="235">
        <v>55911.0</v>
      </c>
    </row>
    <row r="9" ht="21.75" customHeight="1">
      <c r="A9" s="234" t="s">
        <v>1180</v>
      </c>
      <c r="B9" s="235">
        <v>73271.0</v>
      </c>
      <c r="C9" s="235">
        <v>72191.0</v>
      </c>
      <c r="D9" s="235">
        <v>72064.0</v>
      </c>
      <c r="E9" s="235">
        <v>74112.0</v>
      </c>
      <c r="F9" s="235">
        <v>75406.0</v>
      </c>
      <c r="G9" s="235">
        <v>96135.0</v>
      </c>
      <c r="H9" s="235">
        <v>88777.0</v>
      </c>
      <c r="I9" s="235">
        <v>186563.0</v>
      </c>
    </row>
    <row r="10" ht="21.75" customHeight="1">
      <c r="A10" s="236" t="s">
        <v>1181</v>
      </c>
      <c r="B10" s="237">
        <v>93230.0</v>
      </c>
      <c r="C10" s="237">
        <v>95657.0</v>
      </c>
      <c r="D10" s="237">
        <v>95328.0</v>
      </c>
      <c r="E10" s="237">
        <v>95148.0</v>
      </c>
      <c r="F10" s="237">
        <v>98496.0</v>
      </c>
      <c r="G10" s="237">
        <v>126843.0</v>
      </c>
      <c r="H10" s="237">
        <v>126840.0</v>
      </c>
      <c r="I10" s="237">
        <v>242474.0</v>
      </c>
    </row>
    <row r="11" ht="21.75" customHeight="1">
      <c r="A11" s="234" t="s">
        <v>1182</v>
      </c>
      <c r="B11" s="235">
        <v>49104.0</v>
      </c>
      <c r="C11" s="235">
        <v>52340.0</v>
      </c>
      <c r="D11" s="235">
        <v>51000.0</v>
      </c>
      <c r="E11" s="235">
        <v>55048.0</v>
      </c>
      <c r="F11" s="235">
        <v>57148.0</v>
      </c>
      <c r="G11" s="235">
        <v>62886.0</v>
      </c>
      <c r="H11" s="235">
        <v>62999.0</v>
      </c>
      <c r="I11" s="235">
        <v>69175.0</v>
      </c>
    </row>
    <row r="12" ht="21.75" customHeight="1">
      <c r="A12" s="234" t="s">
        <v>464</v>
      </c>
      <c r="B12" s="235"/>
      <c r="C12" s="235"/>
      <c r="D12" s="235"/>
      <c r="E12" s="235"/>
      <c r="F12" s="235"/>
      <c r="G12" s="235"/>
      <c r="H12" s="235"/>
      <c r="I12" s="235">
        <v>9991.0</v>
      </c>
    </row>
    <row r="13" ht="21.75" customHeight="1">
      <c r="A13" s="234" t="s">
        <v>1183</v>
      </c>
      <c r="B13" s="235">
        <v>15207.0</v>
      </c>
      <c r="C13" s="235">
        <v>15714.0</v>
      </c>
      <c r="D13" s="235">
        <v>15724.0</v>
      </c>
      <c r="E13" s="235">
        <v>16020.0</v>
      </c>
      <c r="F13" s="235">
        <v>18303.0</v>
      </c>
      <c r="G13" s="235">
        <v>16309.0</v>
      </c>
      <c r="H13" s="235">
        <v>23914.0</v>
      </c>
      <c r="I13" s="235">
        <v>21884.0</v>
      </c>
    </row>
    <row r="14" ht="21.75" customHeight="1">
      <c r="A14" s="236" t="s">
        <v>1184</v>
      </c>
      <c r="B14" s="237">
        <v>157541.0</v>
      </c>
      <c r="C14" s="237">
        <v>163711.0</v>
      </c>
      <c r="D14" s="237">
        <v>162052.0</v>
      </c>
      <c r="E14" s="237">
        <v>166216.0</v>
      </c>
      <c r="F14" s="237">
        <v>173947.0</v>
      </c>
      <c r="G14" s="237">
        <v>206038.0</v>
      </c>
      <c r="H14" s="237">
        <v>213753.0</v>
      </c>
      <c r="I14" s="237">
        <v>343524.0</v>
      </c>
    </row>
    <row r="16" ht="24.75" customHeight="1">
      <c r="A16" s="233" t="s">
        <v>1185</v>
      </c>
      <c r="B16" s="233"/>
      <c r="C16" s="233"/>
      <c r="D16" s="233"/>
      <c r="E16" s="233"/>
      <c r="F16" s="233"/>
      <c r="G16" s="233"/>
      <c r="H16" s="233"/>
      <c r="I16" s="233"/>
    </row>
    <row r="17" ht="21.75" customHeight="1">
      <c r="A17" s="234" t="s">
        <v>1186</v>
      </c>
      <c r="B17" s="235">
        <v>36177.0</v>
      </c>
      <c r="C17" s="235">
        <v>37982.0</v>
      </c>
      <c r="D17" s="235">
        <v>51029.0</v>
      </c>
      <c r="E17" s="235">
        <v>52574.0</v>
      </c>
      <c r="F17" s="235">
        <v>63800.0</v>
      </c>
      <c r="G17" s="235">
        <v>68687.0</v>
      </c>
      <c r="H17" s="235">
        <v>106946.0</v>
      </c>
      <c r="I17" s="235">
        <v>131461.0</v>
      </c>
    </row>
    <row r="18" ht="21.75" customHeight="1">
      <c r="A18" s="234" t="s">
        <v>1187</v>
      </c>
      <c r="B18" s="235">
        <v>15915.0</v>
      </c>
      <c r="C18" s="235">
        <v>17180.0</v>
      </c>
      <c r="D18" s="235">
        <v>18386.0</v>
      </c>
      <c r="E18" s="235">
        <v>19289.0</v>
      </c>
      <c r="F18" s="235">
        <v>10331.0</v>
      </c>
      <c r="G18" s="235">
        <v>9113.0</v>
      </c>
      <c r="H18" s="235">
        <v>1995.0</v>
      </c>
      <c r="I18" s="235">
        <v>1448.0</v>
      </c>
    </row>
    <row r="19" ht="21.75" customHeight="1">
      <c r="A19" s="234" t="s">
        <v>1188</v>
      </c>
      <c r="B19" s="235">
        <v>161270.0</v>
      </c>
      <c r="C19" s="235">
        <v>171036.0</v>
      </c>
      <c r="D19" s="235">
        <v>185062.0</v>
      </c>
      <c r="E19" s="235">
        <v>203231.0</v>
      </c>
      <c r="F19" s="235">
        <v>223787.0</v>
      </c>
      <c r="G19" s="235">
        <v>246597.0</v>
      </c>
      <c r="H19" s="235">
        <v>281020.0</v>
      </c>
      <c r="I19" s="235">
        <v>321212.0</v>
      </c>
    </row>
    <row r="20" ht="21.75" customHeight="1">
      <c r="A20" s="234" t="s">
        <v>1189</v>
      </c>
      <c r="B20" s="235">
        <v>13561.0</v>
      </c>
      <c r="C20" s="235">
        <v>13588.0</v>
      </c>
      <c r="D20" s="235">
        <v>13722.0</v>
      </c>
      <c r="E20" s="235">
        <v>14255.0</v>
      </c>
      <c r="F20" s="235">
        <v>14524.0</v>
      </c>
      <c r="G20" s="235">
        <v>15221.0</v>
      </c>
      <c r="H20" s="235">
        <v>15509.0</v>
      </c>
      <c r="I20" s="235">
        <v>17694.0</v>
      </c>
    </row>
    <row r="21" ht="21.75" customHeight="1">
      <c r="A21" s="234" t="s">
        <v>1190</v>
      </c>
      <c r="B21" s="235">
        <v>31935.0</v>
      </c>
      <c r="C21" s="235">
        <v>31885.0</v>
      </c>
      <c r="D21" s="235">
        <v>32173.0</v>
      </c>
      <c r="E21" s="235">
        <v>32335.0</v>
      </c>
      <c r="F21" s="235">
        <v>33269.0</v>
      </c>
      <c r="G21" s="235">
        <v>33380.0</v>
      </c>
      <c r="H21" s="235">
        <v>57774.0</v>
      </c>
      <c r="I21" s="235">
        <v>57828.0</v>
      </c>
    </row>
    <row r="22" ht="21.75" customHeight="1">
      <c r="A22" s="234" t="s">
        <v>1191</v>
      </c>
      <c r="B22" s="235"/>
      <c r="C22" s="235"/>
      <c r="D22" s="235"/>
      <c r="E22" s="235"/>
      <c r="F22" s="235"/>
      <c r="G22" s="235"/>
      <c r="H22" s="235">
        <v>9444.0</v>
      </c>
      <c r="I22" s="235">
        <v>9105.0</v>
      </c>
    </row>
    <row r="23" ht="21.75" customHeight="1">
      <c r="A23" s="234" t="s">
        <v>1192</v>
      </c>
      <c r="B23" s="235">
        <v>13867.0</v>
      </c>
      <c r="C23" s="235">
        <v>14874.0</v>
      </c>
      <c r="D23" s="235">
        <v>12950.0</v>
      </c>
      <c r="E23" s="235">
        <v>14153.0</v>
      </c>
      <c r="F23" s="235">
        <v>16811.0</v>
      </c>
      <c r="G23" s="235">
        <v>16245.0</v>
      </c>
      <c r="H23" s="235">
        <v>17478.0</v>
      </c>
      <c r="I23" s="235">
        <v>39711.0</v>
      </c>
    </row>
    <row r="24" ht="21.75" customHeight="1">
      <c r="A24" s="236" t="s">
        <v>1193</v>
      </c>
      <c r="B24" s="237">
        <v>430266.0</v>
      </c>
      <c r="C24" s="237">
        <v>450256.0</v>
      </c>
      <c r="D24" s="237">
        <v>475374.0</v>
      </c>
      <c r="E24" s="237">
        <v>502053.0</v>
      </c>
      <c r="F24" s="237">
        <v>536469.0</v>
      </c>
      <c r="G24" s="237">
        <v>595281.0</v>
      </c>
      <c r="H24" s="237">
        <v>703919.0</v>
      </c>
      <c r="I24" s="237">
        <v>921983.0</v>
      </c>
    </row>
    <row r="25"/>
    <row r="26" ht="24.75" customHeight="1">
      <c r="A26" s="233" t="s">
        <v>1081</v>
      </c>
      <c r="B26" s="233"/>
      <c r="C26" s="233"/>
      <c r="D26" s="233"/>
      <c r="E26" s="233"/>
      <c r="F26" s="233"/>
      <c r="G26" s="233"/>
      <c r="H26" s="233"/>
      <c r="I26" s="233"/>
    </row>
    <row r="27" ht="21.75" customHeight="1">
      <c r="A27" s="234" t="s">
        <v>1194</v>
      </c>
      <c r="B27" s="235">
        <v>7049.0</v>
      </c>
      <c r="C27" s="235">
        <v>7987.0</v>
      </c>
      <c r="D27" s="235">
        <v>8497.0</v>
      </c>
      <c r="E27" s="235">
        <v>8347.0</v>
      </c>
      <c r="F27" s="235">
        <v>10546.0</v>
      </c>
      <c r="G27" s="235">
        <v>12200.0</v>
      </c>
      <c r="H27" s="235">
        <v>16852.0</v>
      </c>
      <c r="I27" s="235">
        <v>20258.0</v>
      </c>
    </row>
    <row r="28" ht="21.75" customHeight="1">
      <c r="A28" s="234" t="s">
        <v>1195</v>
      </c>
      <c r="B28" s="235">
        <v>12908.0</v>
      </c>
      <c r="C28" s="235">
        <v>15069.0</v>
      </c>
      <c r="D28" s="235">
        <v>9984.0</v>
      </c>
      <c r="E28" s="235">
        <v>12168.0</v>
      </c>
      <c r="F28" s="235">
        <v>13944.0</v>
      </c>
      <c r="G28" s="235">
        <v>17546.0</v>
      </c>
      <c r="H28" s="235">
        <v>13947.0</v>
      </c>
      <c r="I28" s="235">
        <v>15086.0</v>
      </c>
    </row>
    <row r="29" ht="21.75" customHeight="1">
      <c r="A29" s="234" t="s">
        <v>1196</v>
      </c>
      <c r="B29" s="235">
        <v>46585.0</v>
      </c>
      <c r="C29" s="235">
        <v>51228.0</v>
      </c>
      <c r="D29" s="235">
        <v>58300.0</v>
      </c>
      <c r="E29" s="235">
        <v>52039.0</v>
      </c>
      <c r="F29" s="235">
        <v>59437.0</v>
      </c>
      <c r="G29" s="235">
        <v>55557.0</v>
      </c>
      <c r="H29" s="235">
        <v>63019.0</v>
      </c>
      <c r="I29" s="235">
        <v>73014.0</v>
      </c>
    </row>
    <row r="30" ht="21.75" customHeight="1">
      <c r="A30" s="234" t="s">
        <v>474</v>
      </c>
      <c r="B30" s="235">
        <v>9365.0</v>
      </c>
      <c r="C30" s="235">
        <v>9802.0</v>
      </c>
      <c r="D30" s="235">
        <v>9965.0</v>
      </c>
      <c r="E30" s="235">
        <v>9787.0</v>
      </c>
      <c r="F30" s="235">
        <v>10081.0</v>
      </c>
      <c r="G30" s="235">
        <v>10864.0</v>
      </c>
      <c r="H30" s="235">
        <v>10208.0</v>
      </c>
      <c r="I30" s="235">
        <v>10599.0</v>
      </c>
    </row>
    <row r="31" ht="21.75" customHeight="1">
      <c r="A31" s="234" t="s">
        <v>475</v>
      </c>
      <c r="B31" s="235">
        <v>4896.0</v>
      </c>
      <c r="C31" s="235">
        <v>5036.0</v>
      </c>
      <c r="D31" s="235">
        <v>4908.0</v>
      </c>
      <c r="E31" s="235">
        <v>4969.0</v>
      </c>
      <c r="F31" s="235">
        <v>5542.0</v>
      </c>
      <c r="G31" s="235">
        <v>6578.0</v>
      </c>
      <c r="H31" s="235">
        <v>7162.0</v>
      </c>
      <c r="I31" s="235">
        <v>7154.0</v>
      </c>
    </row>
    <row r="32" ht="21.75" customHeight="1">
      <c r="A32" s="236" t="s">
        <v>1197</v>
      </c>
      <c r="B32" s="237">
        <v>80803.0</v>
      </c>
      <c r="C32" s="237">
        <v>89122.0</v>
      </c>
      <c r="D32" s="237">
        <v>91654.0</v>
      </c>
      <c r="E32" s="237">
        <v>87310.0</v>
      </c>
      <c r="F32" s="237">
        <v>99550.0</v>
      </c>
      <c r="G32" s="237">
        <v>102745.0</v>
      </c>
      <c r="H32" s="237">
        <v>111188.0</v>
      </c>
      <c r="I32" s="237">
        <v>126111.0</v>
      </c>
    </row>
    <row r="33"/>
    <row r="34" ht="24.75" customHeight="1">
      <c r="A34" s="233" t="s">
        <v>1198</v>
      </c>
      <c r="B34" s="233"/>
      <c r="C34" s="233"/>
      <c r="D34" s="233"/>
      <c r="E34" s="233"/>
      <c r="F34" s="233"/>
      <c r="G34" s="233"/>
      <c r="H34" s="233"/>
      <c r="I34" s="233"/>
    </row>
    <row r="35" ht="21.75" customHeight="1">
      <c r="A35" s="234" t="s">
        <v>1199</v>
      </c>
      <c r="B35" s="235">
        <v>12297.0</v>
      </c>
      <c r="C35" s="235">
        <v>10883.0</v>
      </c>
      <c r="D35" s="235">
        <v>10886.0</v>
      </c>
      <c r="E35" s="235">
        <v>23607.0</v>
      </c>
      <c r="F35" s="235">
        <v>21607.0</v>
      </c>
      <c r="G35" s="235">
        <v>46547.0</v>
      </c>
      <c r="H35" s="235">
        <v>77501.0</v>
      </c>
      <c r="I35" s="235">
        <v>98165.0</v>
      </c>
    </row>
    <row r="36" ht="21.75" customHeight="1">
      <c r="A36" s="234" t="s">
        <v>1200</v>
      </c>
      <c r="B36" s="235">
        <v>1015.0</v>
      </c>
      <c r="C36" s="235"/>
      <c r="D36" s="235"/>
      <c r="E36" s="235"/>
      <c r="F36" s="235"/>
      <c r="G36" s="235"/>
      <c r="H36" s="235"/>
      <c r="I36" s="235"/>
    </row>
    <row r="37" ht="21.75" customHeight="1">
      <c r="A37" s="234" t="s">
        <v>1201</v>
      </c>
      <c r="B37" s="235">
        <v>8219.0</v>
      </c>
      <c r="C37" s="235">
        <v>8782.0</v>
      </c>
      <c r="D37" s="235">
        <v>9773.0</v>
      </c>
      <c r="E37" s="235">
        <v>10027.0</v>
      </c>
      <c r="F37" s="235">
        <v>10072.0</v>
      </c>
      <c r="G37" s="235">
        <v>9531.0</v>
      </c>
      <c r="H37" s="235">
        <v>12457.0</v>
      </c>
      <c r="I37" s="235">
        <v>11306.0</v>
      </c>
    </row>
    <row r="38" ht="21.75" customHeight="1">
      <c r="A38" s="234" t="s">
        <v>1202</v>
      </c>
      <c r="B38" s="235">
        <v>706.0</v>
      </c>
      <c r="C38" s="235"/>
      <c r="D38" s="235"/>
      <c r="E38" s="235"/>
      <c r="F38" s="235"/>
      <c r="G38" s="235"/>
      <c r="H38" s="235"/>
      <c r="I38" s="235">
        <v>22819.0</v>
      </c>
    </row>
    <row r="39" ht="21.75" customHeight="1">
      <c r="A39" s="234" t="s">
        <v>1203</v>
      </c>
      <c r="B39" s="235">
        <v>11654.0</v>
      </c>
      <c r="C39" s="235">
        <v>11691.0</v>
      </c>
      <c r="D39" s="235">
        <v>11678.0</v>
      </c>
      <c r="E39" s="235">
        <v>11952.0</v>
      </c>
      <c r="F39" s="235">
        <v>12106.0</v>
      </c>
      <c r="G39" s="235">
        <v>12744.0</v>
      </c>
      <c r="H39" s="235">
        <v>12983.0</v>
      </c>
      <c r="I39" s="235">
        <v>14591.0</v>
      </c>
    </row>
    <row r="40" ht="21.75" customHeight="1">
      <c r="A40" s="234" t="s">
        <v>1204</v>
      </c>
      <c r="B40" s="235">
        <v>1453.0</v>
      </c>
      <c r="C40" s="235">
        <v>4694.0</v>
      </c>
      <c r="D40" s="235">
        <v>6116.0</v>
      </c>
      <c r="E40" s="235">
        <v>6241.0</v>
      </c>
      <c r="F40" s="235">
        <v>6267.0</v>
      </c>
      <c r="G40" s="235">
        <v>8449.0</v>
      </c>
      <c r="H40" s="235">
        <v>11044.0</v>
      </c>
      <c r="I40" s="235">
        <v>8511.0</v>
      </c>
    </row>
    <row r="41" ht="21.75" customHeight="1">
      <c r="A41" s="236" t="s">
        <v>1205</v>
      </c>
      <c r="B41" s="237">
        <v>116147.0</v>
      </c>
      <c r="C41" s="237">
        <v>125172.0</v>
      </c>
      <c r="D41" s="237">
        <v>130107.0</v>
      </c>
      <c r="E41" s="237">
        <v>139137.0</v>
      </c>
      <c r="F41" s="237">
        <v>149602.0</v>
      </c>
      <c r="G41" s="237">
        <v>180016.0</v>
      </c>
      <c r="H41" s="237">
        <v>225173.0</v>
      </c>
      <c r="I41" s="237">
        <v>281503.0</v>
      </c>
    </row>
    <row r="42"/>
    <row r="43" ht="24.75" customHeight="1">
      <c r="A43" s="233" t="s">
        <v>1206</v>
      </c>
      <c r="B43" s="233"/>
      <c r="C43" s="233"/>
      <c r="D43" s="233"/>
      <c r="E43" s="233"/>
      <c r="F43" s="233"/>
      <c r="G43" s="233"/>
      <c r="H43" s="233"/>
      <c r="I43" s="233"/>
    </row>
    <row r="44" ht="21.75" customHeight="1">
      <c r="A44" s="234" t="s">
        <v>1207</v>
      </c>
      <c r="B44" s="235">
        <v>0.0</v>
      </c>
      <c r="C44" s="235">
        <v>0.0</v>
      </c>
      <c r="D44" s="235">
        <v>0.0</v>
      </c>
      <c r="E44" s="235">
        <v>0.0</v>
      </c>
      <c r="F44" s="235">
        <v>0.0</v>
      </c>
      <c r="G44" s="235">
        <v>0.0</v>
      </c>
      <c r="H44" s="235">
        <v>0.0</v>
      </c>
      <c r="I44" s="235">
        <v>18023.0</v>
      </c>
    </row>
    <row r="45" ht="21.75" customHeight="1">
      <c r="A45" s="234" t="s">
        <v>1208</v>
      </c>
      <c r="B45" s="235">
        <v>82030.0</v>
      </c>
      <c r="C45" s="235">
        <v>84800.0</v>
      </c>
      <c r="D45" s="235">
        <v>86725.0</v>
      </c>
      <c r="E45" s="235">
        <v>89283.0</v>
      </c>
      <c r="F45" s="235">
        <v>91695.0</v>
      </c>
      <c r="G45" s="235">
        <v>93126.0</v>
      </c>
      <c r="H45" s="235">
        <v>96902.0</v>
      </c>
      <c r="I45" s="235">
        <v>131371.0</v>
      </c>
    </row>
    <row r="46" ht="21.75" customHeight="1">
      <c r="A46" s="234" t="s">
        <v>1209</v>
      </c>
      <c r="B46" s="235">
        <v>-3228.0</v>
      </c>
      <c r="C46" s="235">
        <v>-4800.0</v>
      </c>
      <c r="D46" s="235">
        <v>-4086.0</v>
      </c>
      <c r="E46" s="235">
        <v>-2127.0</v>
      </c>
      <c r="F46" s="235">
        <v>-2054.0</v>
      </c>
      <c r="G46" s="235">
        <v>-1916.0</v>
      </c>
      <c r="H46" s="235">
        <v>-2180.0</v>
      </c>
      <c r="I46" s="235">
        <v>-2285.0</v>
      </c>
    </row>
    <row r="47" ht="21.75" customHeight="1">
      <c r="A47" s="234" t="s">
        <v>1210</v>
      </c>
      <c r="B47" s="235">
        <v>235317.0</v>
      </c>
      <c r="C47" s="235">
        <v>245084.0</v>
      </c>
      <c r="D47" s="235">
        <v>262628.0</v>
      </c>
      <c r="E47" s="235">
        <v>275760.0</v>
      </c>
      <c r="F47" s="235">
        <v>297226.0</v>
      </c>
      <c r="G47" s="235">
        <v>324055.0</v>
      </c>
      <c r="H47" s="235">
        <v>384024.0</v>
      </c>
      <c r="I47" s="235">
        <v>493371.0</v>
      </c>
    </row>
    <row r="48" ht="21.75" customHeight="1">
      <c r="A48" s="236" t="s">
        <v>1211</v>
      </c>
      <c r="B48" s="237">
        <v>314119.0</v>
      </c>
      <c r="C48" s="237">
        <v>325084.0</v>
      </c>
      <c r="D48" s="237">
        <v>345267.0</v>
      </c>
      <c r="E48" s="237">
        <v>362916.0</v>
      </c>
      <c r="F48" s="237">
        <v>386867.0</v>
      </c>
      <c r="G48" s="237">
        <v>415265.0</v>
      </c>
      <c r="H48" s="237">
        <v>478746.0</v>
      </c>
      <c r="I48" s="237">
        <v>640480.0</v>
      </c>
    </row>
    <row r="49" ht="21.75" customHeight="1">
      <c r="A49" s="236" t="s">
        <v>1212</v>
      </c>
      <c r="B49" s="237">
        <v>430266.0</v>
      </c>
      <c r="C49" s="237">
        <v>450256.0</v>
      </c>
      <c r="D49" s="237">
        <v>475374.0</v>
      </c>
      <c r="E49" s="237">
        <v>502053.0</v>
      </c>
      <c r="F49" s="237">
        <v>536469.0</v>
      </c>
      <c r="G49" s="237">
        <v>595281.0</v>
      </c>
      <c r="H49" s="237">
        <v>703919.0</v>
      </c>
      <c r="I49" s="237">
        <v>921983.0</v>
      </c>
    </row>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1213</v>
      </c>
    </row>
    <row r="2" ht="27.0" customHeight="1">
      <c r="A2" s="229" t="s">
        <v>1214</v>
      </c>
    </row>
    <row r="4" ht="24.75" customHeight="1">
      <c r="A4" s="230" t="s">
        <v>1139</v>
      </c>
      <c r="B4" s="230" t="s">
        <v>1140</v>
      </c>
      <c r="C4" s="231" t="s">
        <v>1141</v>
      </c>
      <c r="D4" s="230" t="s">
        <v>1142</v>
      </c>
      <c r="E4" s="230" t="s">
        <v>1143</v>
      </c>
      <c r="F4" s="230" t="s">
        <v>1144</v>
      </c>
      <c r="G4" s="231" t="s">
        <v>1145</v>
      </c>
      <c r="H4" s="230" t="s">
        <v>1146</v>
      </c>
      <c r="I4" s="230" t="s">
        <v>1147</v>
      </c>
    </row>
    <row r="5" ht="24.75" customHeight="1">
      <c r="A5" s="232" t="s">
        <v>1148</v>
      </c>
      <c r="B5" s="232" t="s">
        <v>1215</v>
      </c>
      <c r="C5" s="232" t="s">
        <v>1150</v>
      </c>
      <c r="D5" s="232" t="s">
        <v>1149</v>
      </c>
      <c r="E5" s="232" t="s">
        <v>1216</v>
      </c>
      <c r="F5" s="232" t="s">
        <v>1215</v>
      </c>
      <c r="G5" s="232" t="s">
        <v>1150</v>
      </c>
      <c r="H5" s="232" t="s">
        <v>1149</v>
      </c>
      <c r="I5" s="232" t="s">
        <v>1216</v>
      </c>
    </row>
    <row r="7" ht="24.75" customHeight="1">
      <c r="A7" s="233" t="s">
        <v>1217</v>
      </c>
      <c r="B7" s="233"/>
      <c r="C7" s="233"/>
      <c r="D7" s="233"/>
      <c r="E7" s="233"/>
      <c r="F7" s="233"/>
      <c r="G7" s="233"/>
      <c r="H7" s="233"/>
      <c r="I7" s="233"/>
    </row>
    <row r="8" ht="21.75" customHeight="1">
      <c r="A8" s="236" t="s">
        <v>1055</v>
      </c>
      <c r="B8" s="237">
        <v>73582.0</v>
      </c>
      <c r="C8" s="237">
        <v>100118.0</v>
      </c>
      <c r="D8" s="237">
        <v>34540.0</v>
      </c>
      <c r="E8" s="237">
        <v>62736.0</v>
      </c>
      <c r="F8" s="237">
        <v>97715.0</v>
      </c>
      <c r="G8" s="237">
        <v>132170.0</v>
      </c>
      <c r="H8" s="237">
        <v>62578.0</v>
      </c>
      <c r="I8" s="237">
        <v>174771.0</v>
      </c>
    </row>
    <row r="9" ht="21.75" customHeight="1">
      <c r="A9" s="234" t="s">
        <v>1218</v>
      </c>
      <c r="B9" s="235">
        <v>11106.0</v>
      </c>
      <c r="C9" s="235">
        <v>15311.0</v>
      </c>
      <c r="D9" s="235">
        <v>4487.0</v>
      </c>
      <c r="E9" s="235">
        <v>9485.0</v>
      </c>
      <c r="F9" s="235">
        <v>15096.0</v>
      </c>
      <c r="G9" s="235">
        <v>21136.0</v>
      </c>
      <c r="H9" s="235">
        <v>6482.0</v>
      </c>
      <c r="I9" s="235">
        <v>13586.0</v>
      </c>
    </row>
    <row r="10" ht="21.75" customHeight="1">
      <c r="A10" s="234" t="s">
        <v>1219</v>
      </c>
      <c r="B10" s="235">
        <v>16975.0</v>
      </c>
      <c r="C10" s="235">
        <v>22785.0</v>
      </c>
      <c r="D10" s="235">
        <v>5516.0</v>
      </c>
      <c r="E10" s="235">
        <v>11514.0</v>
      </c>
      <c r="F10" s="235">
        <v>17882.0</v>
      </c>
      <c r="G10" s="235">
        <v>24953.0</v>
      </c>
      <c r="H10" s="235">
        <v>6751.0</v>
      </c>
      <c r="I10" s="235">
        <v>14708.0</v>
      </c>
    </row>
    <row r="11" ht="21.75" customHeight="1">
      <c r="A11" s="234" t="s">
        <v>1220</v>
      </c>
      <c r="B11" s="235">
        <v>-3809.0</v>
      </c>
      <c r="C11" s="235">
        <v>-5257.0</v>
      </c>
      <c r="D11" s="235">
        <v>-1152.0</v>
      </c>
      <c r="E11" s="235">
        <v>-1596.0</v>
      </c>
      <c r="F11" s="235">
        <v>7130.0</v>
      </c>
      <c r="G11" s="235">
        <v>8348.0</v>
      </c>
      <c r="H11" s="235">
        <v>6920.0</v>
      </c>
      <c r="I11" s="235">
        <v>27538.0</v>
      </c>
    </row>
    <row r="12" ht="21.75" customHeight="1">
      <c r="A12" s="234" t="s">
        <v>1221</v>
      </c>
      <c r="B12" s="235">
        <v>-2738.0</v>
      </c>
      <c r="C12" s="235">
        <v>-2671.0</v>
      </c>
      <c r="D12" s="235">
        <v>-9960.0</v>
      </c>
      <c r="E12" s="235">
        <v>-11411.0</v>
      </c>
      <c r="F12" s="235">
        <v>-22266.0</v>
      </c>
      <c r="G12" s="235">
        <v>-24620.0</v>
      </c>
      <c r="H12" s="235">
        <v>-36804.0</v>
      </c>
      <c r="I12" s="235">
        <v>-135803.0</v>
      </c>
    </row>
    <row r="13" ht="21.75" customHeight="1">
      <c r="A13" s="234" t="s">
        <v>1222</v>
      </c>
      <c r="B13" s="235">
        <v>2592.0</v>
      </c>
      <c r="C13" s="235">
        <v>3419.0</v>
      </c>
      <c r="D13" s="235">
        <v>481.0</v>
      </c>
      <c r="E13" s="235">
        <v>1041.0</v>
      </c>
      <c r="F13" s="235">
        <v>843.0</v>
      </c>
      <c r="G13" s="235">
        <v>2108.0</v>
      </c>
      <c r="H13" s="235">
        <v>1265.0</v>
      </c>
      <c r="I13" s="235">
        <v>3161.0</v>
      </c>
    </row>
    <row r="14" ht="21.75" customHeight="1">
      <c r="A14" s="234" t="s">
        <v>1182</v>
      </c>
      <c r="B14" s="235">
        <v>-1321.0</v>
      </c>
      <c r="C14" s="235">
        <v>-5891.0</v>
      </c>
      <c r="D14" s="235">
        <v>1638.0</v>
      </c>
      <c r="E14" s="235">
        <v>-1201.0</v>
      </c>
      <c r="F14" s="235">
        <v>-3582.0</v>
      </c>
      <c r="G14" s="235">
        <v>-8779.0</v>
      </c>
      <c r="H14" s="235">
        <v>-363.0</v>
      </c>
      <c r="I14" s="235">
        <v>-6904.0</v>
      </c>
    </row>
    <row r="15" ht="21.75" customHeight="1">
      <c r="A15" s="234" t="s">
        <v>464</v>
      </c>
      <c r="B15" s="235"/>
      <c r="C15" s="235"/>
      <c r="D15" s="235"/>
      <c r="E15" s="235"/>
      <c r="F15" s="235"/>
      <c r="G15" s="235"/>
      <c r="H15" s="235"/>
      <c r="I15" s="235">
        <v>-7739.0</v>
      </c>
    </row>
    <row r="16" ht="21.75" customHeight="1">
      <c r="A16" s="234" t="s">
        <v>1223</v>
      </c>
      <c r="B16" s="235">
        <v>-2797.0</v>
      </c>
      <c r="C16" s="235">
        <v>-2418.0</v>
      </c>
      <c r="D16" s="235">
        <v>7197.0</v>
      </c>
      <c r="E16" s="235">
        <v>-2434.0</v>
      </c>
      <c r="F16" s="235">
        <v>-3292.0</v>
      </c>
      <c r="G16" s="235">
        <v>-3226.0</v>
      </c>
      <c r="H16" s="235">
        <v>8101.0</v>
      </c>
      <c r="I16" s="235">
        <v>8304.0</v>
      </c>
    </row>
    <row r="17" ht="21.75" customHeight="1">
      <c r="A17" s="234" t="s">
        <v>1224</v>
      </c>
      <c r="B17" s="235">
        <v>-2334.0</v>
      </c>
      <c r="C17" s="235">
        <v>-1397.0</v>
      </c>
      <c r="D17" s="235">
        <v>-1288.0</v>
      </c>
      <c r="E17" s="235">
        <v>-2767.0</v>
      </c>
      <c r="F17" s="235">
        <v>-4060.0</v>
      </c>
      <c r="G17" s="235">
        <v>-4542.0</v>
      </c>
      <c r="H17" s="235">
        <v>-3403.0</v>
      </c>
      <c r="I17" s="235">
        <v>-9950.0</v>
      </c>
    </row>
    <row r="18" ht="21.75" customHeight="1">
      <c r="A18" s="234" t="s">
        <v>1194</v>
      </c>
      <c r="B18" s="235">
        <v>-42.0</v>
      </c>
      <c r="C18" s="235">
        <v>359.0</v>
      </c>
      <c r="D18" s="235">
        <v>-880.0</v>
      </c>
      <c r="E18" s="235">
        <v>-327.0</v>
      </c>
      <c r="F18" s="235">
        <v>-771.0</v>
      </c>
      <c r="G18" s="235">
        <v>907.0</v>
      </c>
      <c r="H18" s="235">
        <v>-240.0</v>
      </c>
      <c r="I18" s="235">
        <v>2090.0</v>
      </c>
    </row>
    <row r="19" ht="21.75" customHeight="1">
      <c r="A19" s="234" t="s">
        <v>1225</v>
      </c>
      <c r="B19" s="235">
        <v>-6366.0</v>
      </c>
      <c r="C19" s="235">
        <v>-1161.0</v>
      </c>
      <c r="D19" s="235">
        <v>-5045.0</v>
      </c>
      <c r="E19" s="235">
        <v>-1560.0</v>
      </c>
      <c r="F19" s="235">
        <v>6199.0</v>
      </c>
      <c r="G19" s="235">
        <v>12939.0</v>
      </c>
      <c r="H19" s="235">
        <v>-6002.0</v>
      </c>
      <c r="I19" s="235">
        <v>308.0</v>
      </c>
    </row>
    <row r="20" ht="21.75" customHeight="1">
      <c r="A20" s="234" t="s">
        <v>474</v>
      </c>
      <c r="B20" s="235">
        <v>478.0</v>
      </c>
      <c r="C20" s="235">
        <v>1059.0</v>
      </c>
      <c r="D20" s="235">
        <v>116.0</v>
      </c>
      <c r="E20" s="235">
        <v>-219.0</v>
      </c>
      <c r="F20" s="235">
        <v>100.0</v>
      </c>
      <c r="G20" s="235">
        <v>899.0</v>
      </c>
      <c r="H20" s="235"/>
      <c r="I20" s="235"/>
    </row>
    <row r="21" ht="21.75" customHeight="1">
      <c r="A21" s="234" t="s">
        <v>475</v>
      </c>
      <c r="B21" s="235">
        <v>860.0</v>
      </c>
      <c r="C21" s="235">
        <v>1043.0</v>
      </c>
      <c r="D21" s="235">
        <v>500.0</v>
      </c>
      <c r="E21" s="235">
        <v>636.0</v>
      </c>
      <c r="F21" s="235">
        <v>1317.0</v>
      </c>
      <c r="G21" s="235">
        <v>2420.0</v>
      </c>
      <c r="H21" s="235">
        <v>505.0</v>
      </c>
      <c r="I21" s="235">
        <v>789.0</v>
      </c>
    </row>
    <row r="22" ht="21.75" customHeight="1">
      <c r="A22" s="236" t="s">
        <v>1226</v>
      </c>
      <c r="B22" s="237">
        <v>86186.0</v>
      </c>
      <c r="C22" s="237">
        <v>125299.0</v>
      </c>
      <c r="D22" s="237">
        <v>36150.0</v>
      </c>
      <c r="E22" s="237">
        <v>63897.0</v>
      </c>
      <c r="F22" s="237">
        <v>112311.0</v>
      </c>
      <c r="G22" s="237">
        <v>164713.0</v>
      </c>
      <c r="H22" s="237">
        <v>45790.0</v>
      </c>
      <c r="I22" s="237">
        <v>84859.0</v>
      </c>
    </row>
    <row r="23"/>
    <row r="24" ht="24.75" customHeight="1">
      <c r="A24" s="233" t="s">
        <v>1227</v>
      </c>
      <c r="B24" s="233"/>
      <c r="C24" s="233"/>
      <c r="D24" s="233"/>
      <c r="E24" s="233"/>
      <c r="F24" s="233"/>
      <c r="G24" s="233"/>
      <c r="H24" s="233"/>
      <c r="I24" s="233"/>
    </row>
    <row r="25" ht="21.75" customHeight="1">
      <c r="A25" s="234" t="s">
        <v>1228</v>
      </c>
      <c r="B25" s="235">
        <v>-38259.0</v>
      </c>
      <c r="C25" s="235">
        <v>-52535.0</v>
      </c>
      <c r="D25" s="235">
        <v>-17197.0</v>
      </c>
      <c r="E25" s="235">
        <v>-39643.0</v>
      </c>
      <c r="F25" s="235">
        <v>-63596.0</v>
      </c>
      <c r="G25" s="235">
        <v>-91447.0</v>
      </c>
      <c r="H25" s="235">
        <v>-35674.0</v>
      </c>
      <c r="I25" s="235">
        <v>-80598.0</v>
      </c>
    </row>
    <row r="26" ht="21.75" customHeight="1">
      <c r="A26" s="234" t="s">
        <v>1229</v>
      </c>
      <c r="B26" s="235">
        <v>-65034.0</v>
      </c>
      <c r="C26" s="235">
        <v>-86679.0</v>
      </c>
      <c r="D26" s="235">
        <v>-18453.0</v>
      </c>
      <c r="E26" s="235">
        <v>-39870.0</v>
      </c>
      <c r="F26" s="235">
        <v>-60834.0</v>
      </c>
      <c r="G26" s="235">
        <v>-103773.0</v>
      </c>
      <c r="H26" s="235">
        <v>-31041.0</v>
      </c>
      <c r="I26" s="235">
        <v>-76480.0</v>
      </c>
    </row>
    <row r="27" ht="21.75" customHeight="1">
      <c r="A27" s="234" t="s">
        <v>1230</v>
      </c>
      <c r="B27" s="235">
        <v>81779.0</v>
      </c>
      <c r="C27" s="235">
        <v>103428.0</v>
      </c>
      <c r="D27" s="235">
        <v>20345.0</v>
      </c>
      <c r="E27" s="235">
        <v>40930.0</v>
      </c>
      <c r="F27" s="235">
        <v>61301.0</v>
      </c>
      <c r="G27" s="235">
        <v>83240.0</v>
      </c>
      <c r="H27" s="235">
        <v>38001.0</v>
      </c>
      <c r="I27" s="235">
        <v>66696.0</v>
      </c>
    </row>
    <row r="28" ht="21.75" customHeight="1">
      <c r="A28" s="234" t="s">
        <v>1231</v>
      </c>
      <c r="B28" s="235">
        <v>-3234.0</v>
      </c>
      <c r="C28" s="235">
        <v>-5034.0</v>
      </c>
      <c r="D28" s="235">
        <v>-958.0</v>
      </c>
      <c r="E28" s="235">
        <v>-2312.0</v>
      </c>
      <c r="F28" s="235">
        <v>-3312.0</v>
      </c>
      <c r="G28" s="235">
        <v>-5716.0</v>
      </c>
      <c r="H28" s="235">
        <v>-906.0</v>
      </c>
      <c r="I28" s="235">
        <v>-22051.0</v>
      </c>
    </row>
    <row r="29" ht="21.75" customHeight="1">
      <c r="A29" s="234" t="s">
        <v>1232</v>
      </c>
      <c r="B29" s="235">
        <v>732.0</v>
      </c>
      <c r="C29" s="235">
        <v>882.0</v>
      </c>
      <c r="D29" s="235">
        <v>259.0</v>
      </c>
      <c r="E29" s="235">
        <v>873.0</v>
      </c>
      <c r="F29" s="235">
        <v>1196.0</v>
      </c>
      <c r="G29" s="235">
        <v>1367.0</v>
      </c>
      <c r="H29" s="235">
        <v>848.0</v>
      </c>
      <c r="I29" s="235">
        <v>1667.0</v>
      </c>
    </row>
    <row r="30" ht="21.75" customHeight="1">
      <c r="A30" s="234" t="s">
        <v>1233</v>
      </c>
      <c r="B30" s="235">
        <v>-2840.0</v>
      </c>
      <c r="C30" s="235">
        <v>-2931.0</v>
      </c>
      <c r="D30" s="235">
        <v>-340.0</v>
      </c>
      <c r="E30" s="235">
        <v>-353.0</v>
      </c>
      <c r="F30" s="235">
        <v>-1425.0</v>
      </c>
      <c r="G30" s="235">
        <v>-1592.0</v>
      </c>
      <c r="H30" s="235">
        <v>-33621.0</v>
      </c>
      <c r="I30" s="235">
        <v>-33697.0</v>
      </c>
    </row>
    <row r="31" ht="21.75" customHeight="1">
      <c r="A31" s="234" t="s">
        <v>1234</v>
      </c>
      <c r="B31" s="235">
        <v>-2500.0</v>
      </c>
      <c r="C31" s="235">
        <v>-2667.0</v>
      </c>
      <c r="D31" s="235">
        <v>150.0</v>
      </c>
      <c r="E31" s="235">
        <v>-363.0</v>
      </c>
      <c r="F31" s="235">
        <v>-1845.0</v>
      </c>
      <c r="G31" s="235">
        <v>-2370.0</v>
      </c>
      <c r="H31" s="235">
        <v>-996.0</v>
      </c>
      <c r="I31" s="235">
        <v>-1359.0</v>
      </c>
    </row>
    <row r="32" ht="21.75" customHeight="1">
      <c r="A32" s="236" t="s">
        <v>1235</v>
      </c>
      <c r="B32" s="237">
        <v>-29356.0</v>
      </c>
      <c r="C32" s="237">
        <v>-45536.0</v>
      </c>
      <c r="D32" s="237">
        <v>-16194.0</v>
      </c>
      <c r="E32" s="237">
        <v>-40738.0</v>
      </c>
      <c r="F32" s="237">
        <v>-68515.0</v>
      </c>
      <c r="G32" s="237">
        <v>-120291.0</v>
      </c>
      <c r="H32" s="237">
        <v>-63389.0</v>
      </c>
      <c r="I32" s="237">
        <v>-145822.0</v>
      </c>
    </row>
    <row r="33"/>
    <row r="34" ht="24.75" customHeight="1">
      <c r="A34" s="233" t="s">
        <v>1236</v>
      </c>
      <c r="B34" s="233"/>
      <c r="C34" s="233"/>
      <c r="D34" s="233"/>
      <c r="E34" s="233"/>
      <c r="F34" s="233"/>
      <c r="G34" s="233"/>
      <c r="H34" s="233"/>
      <c r="I34" s="233"/>
    </row>
    <row r="35" ht="21.75" customHeight="1">
      <c r="A35" s="234" t="s">
        <v>1237</v>
      </c>
      <c r="B35" s="235">
        <v>-9141.0</v>
      </c>
      <c r="C35" s="235">
        <v>-12190.0</v>
      </c>
      <c r="D35" s="235">
        <v>-3110.0</v>
      </c>
      <c r="E35" s="235">
        <v>-5731.0</v>
      </c>
      <c r="F35" s="235">
        <v>-9001.0</v>
      </c>
      <c r="G35" s="235">
        <v>-14167.0</v>
      </c>
      <c r="H35" s="235">
        <v>-5483.0</v>
      </c>
      <c r="I35" s="235">
        <v>-12056.0</v>
      </c>
    </row>
    <row r="36" ht="21.75" customHeight="1">
      <c r="A36" s="234" t="s">
        <v>1238</v>
      </c>
      <c r="B36" s="235">
        <v>-46671.0</v>
      </c>
      <c r="C36" s="235">
        <v>-62222.0</v>
      </c>
      <c r="D36" s="235">
        <v>-15068.0</v>
      </c>
      <c r="E36" s="235">
        <v>-28706.0</v>
      </c>
      <c r="F36" s="235">
        <v>-40210.0</v>
      </c>
      <c r="G36" s="235">
        <v>-45709.0</v>
      </c>
      <c r="H36" s="235">
        <v>0.0</v>
      </c>
      <c r="I36" s="235">
        <v>0.0</v>
      </c>
    </row>
    <row r="37" ht="21.75" customHeight="1">
      <c r="A37" s="234" t="s">
        <v>1239</v>
      </c>
      <c r="B37" s="235">
        <v>-4921.0</v>
      </c>
      <c r="C37" s="235">
        <v>-7363.0</v>
      </c>
      <c r="D37" s="235">
        <v>-2434.0</v>
      </c>
      <c r="E37" s="235">
        <v>-4977.0</v>
      </c>
      <c r="F37" s="235">
        <v>-7513.0</v>
      </c>
      <c r="G37" s="235">
        <v>-10049.0</v>
      </c>
      <c r="H37" s="235">
        <v>-2542.0</v>
      </c>
      <c r="I37" s="235">
        <v>-5231.0</v>
      </c>
    </row>
    <row r="38" ht="21.75" customHeight="1">
      <c r="A38" s="234" t="s">
        <v>1240</v>
      </c>
      <c r="B38" s="235"/>
      <c r="C38" s="235"/>
      <c r="D38" s="235"/>
      <c r="E38" s="235"/>
      <c r="F38" s="235"/>
      <c r="G38" s="235"/>
      <c r="H38" s="235"/>
      <c r="I38" s="235">
        <v>30499.0</v>
      </c>
    </row>
    <row r="39" ht="21.75" customHeight="1">
      <c r="A39" s="234" t="s">
        <v>1241</v>
      </c>
      <c r="B39" s="235"/>
      <c r="C39" s="235"/>
      <c r="D39" s="235"/>
      <c r="E39" s="235"/>
      <c r="F39" s="235"/>
      <c r="G39" s="235"/>
      <c r="H39" s="235"/>
      <c r="I39" s="235">
        <v>19063.0</v>
      </c>
    </row>
    <row r="40" ht="21.75" customHeight="1">
      <c r="A40" s="234" t="s">
        <v>1242</v>
      </c>
      <c r="B40" s="235">
        <v>8694.0</v>
      </c>
      <c r="C40" s="235">
        <v>13589.0</v>
      </c>
      <c r="D40" s="235">
        <v>4532.0</v>
      </c>
      <c r="E40" s="235">
        <v>31378.0</v>
      </c>
      <c r="F40" s="235">
        <v>38002.0</v>
      </c>
      <c r="G40" s="235">
        <v>64564.0</v>
      </c>
      <c r="H40" s="235">
        <v>31379.0</v>
      </c>
      <c r="I40" s="235">
        <v>56226.0</v>
      </c>
    </row>
    <row r="41" ht="21.75" customHeight="1">
      <c r="A41" s="234" t="s">
        <v>1243</v>
      </c>
      <c r="B41" s="235">
        <v>-8951.0</v>
      </c>
      <c r="C41" s="235">
        <v>-12701.0</v>
      </c>
      <c r="D41" s="235">
        <v>-4521.0</v>
      </c>
      <c r="E41" s="235">
        <v>-18397.0</v>
      </c>
      <c r="F41" s="235">
        <v>-26094.0</v>
      </c>
      <c r="G41" s="235">
        <v>-32427.0</v>
      </c>
      <c r="H41" s="235">
        <v>-1477.0</v>
      </c>
      <c r="I41" s="235">
        <v>-5253.0</v>
      </c>
    </row>
    <row r="42" ht="21.75" customHeight="1">
      <c r="A42" s="234" t="s">
        <v>1244</v>
      </c>
      <c r="B42" s="235">
        <v>293.0</v>
      </c>
      <c r="C42" s="235">
        <v>1154.0</v>
      </c>
      <c r="D42" s="235">
        <v>400.0</v>
      </c>
      <c r="E42" s="235">
        <v>400.0</v>
      </c>
      <c r="F42" s="235">
        <v>400.0</v>
      </c>
      <c r="G42" s="235">
        <v>400.0</v>
      </c>
      <c r="H42" s="235">
        <v>3200.0</v>
      </c>
      <c r="I42" s="235">
        <v>3758.0</v>
      </c>
    </row>
    <row r="43" ht="21.75" customHeight="1">
      <c r="A43" s="234" t="s">
        <v>1245</v>
      </c>
      <c r="B43" s="235"/>
      <c r="C43" s="235"/>
      <c r="D43" s="235"/>
      <c r="E43" s="235"/>
      <c r="F43" s="235"/>
      <c r="G43" s="235"/>
      <c r="H43" s="235"/>
      <c r="I43" s="235">
        <v>-686.0</v>
      </c>
    </row>
    <row r="44" ht="21.75" customHeight="1">
      <c r="A44" s="236" t="s">
        <v>1246</v>
      </c>
      <c r="B44" s="237">
        <v>-60697.0</v>
      </c>
      <c r="C44" s="237">
        <v>-79733.0</v>
      </c>
      <c r="D44" s="237">
        <v>-20201.0</v>
      </c>
      <c r="E44" s="237">
        <v>-26033.0</v>
      </c>
      <c r="F44" s="237">
        <v>-44416.0</v>
      </c>
      <c r="G44" s="237">
        <v>-37388.0</v>
      </c>
      <c r="H44" s="237">
        <v>25077.0</v>
      </c>
      <c r="I44" s="237">
        <v>86320.0</v>
      </c>
    </row>
    <row r="45"/>
    <row r="46" ht="24.75" customHeight="1">
      <c r="A46" s="233" t="s">
        <v>1247</v>
      </c>
      <c r="B46" s="233"/>
      <c r="C46" s="233"/>
      <c r="D46" s="233"/>
      <c r="E46" s="233"/>
      <c r="F46" s="233"/>
      <c r="G46" s="233"/>
      <c r="H46" s="233"/>
      <c r="I46" s="233"/>
    </row>
    <row r="47" ht="21.75" customHeight="1">
      <c r="A47" s="234" t="s">
        <v>1248</v>
      </c>
      <c r="B47" s="235">
        <v>-222.0</v>
      </c>
      <c r="C47" s="235">
        <v>-612.0</v>
      </c>
      <c r="D47" s="235">
        <v>43.0</v>
      </c>
      <c r="E47" s="235">
        <v>444.0</v>
      </c>
      <c r="F47" s="235">
        <v>244.0</v>
      </c>
      <c r="G47" s="235">
        <v>208.0</v>
      </c>
      <c r="H47" s="235">
        <v>-123.0</v>
      </c>
      <c r="I47" s="235">
        <v>-154.0</v>
      </c>
    </row>
    <row r="48" ht="21.75" customHeight="1">
      <c r="A48" s="234" t="s">
        <v>1249</v>
      </c>
      <c r="B48" s="235">
        <v>-4089.0</v>
      </c>
      <c r="C48" s="235">
        <v>-582.0</v>
      </c>
      <c r="D48" s="235">
        <v>-202.0</v>
      </c>
      <c r="E48" s="235">
        <v>-2430.0</v>
      </c>
      <c r="F48" s="235">
        <v>-376.0</v>
      </c>
      <c r="G48" s="235">
        <v>7242.0</v>
      </c>
      <c r="H48" s="235">
        <v>7355.0</v>
      </c>
      <c r="I48" s="235">
        <v>25203.0</v>
      </c>
    </row>
    <row r="49" ht="21.75" customHeight="1">
      <c r="A49" s="234" t="s">
        <v>1250</v>
      </c>
      <c r="B49" s="235">
        <v>24048.0</v>
      </c>
      <c r="C49" s="235">
        <v>24048.0</v>
      </c>
      <c r="D49" s="235">
        <v>23466.0</v>
      </c>
      <c r="E49" s="235">
        <v>23466.0</v>
      </c>
      <c r="F49" s="235">
        <v>23466.0</v>
      </c>
      <c r="G49" s="235">
        <v>23466.0</v>
      </c>
      <c r="H49" s="235">
        <v>30708.0</v>
      </c>
      <c r="I49" s="235">
        <v>30708.0</v>
      </c>
    </row>
    <row r="50" ht="21.75" customHeight="1">
      <c r="A50" s="234" t="s">
        <v>1251</v>
      </c>
      <c r="B50" s="235">
        <v>19959.0</v>
      </c>
      <c r="C50" s="235">
        <v>23466.0</v>
      </c>
      <c r="D50" s="235">
        <v>23264.0</v>
      </c>
      <c r="E50" s="235">
        <v>21036.0</v>
      </c>
      <c r="F50" s="235">
        <v>23090.0</v>
      </c>
      <c r="G50" s="235">
        <v>30708.0</v>
      </c>
      <c r="H50" s="235">
        <v>38063.0</v>
      </c>
      <c r="I50" s="235">
        <v>55911.0</v>
      </c>
    </row>
    <row r="51" ht="21.75" customHeight="1">
      <c r="A51" s="234" t="s">
        <v>1252</v>
      </c>
      <c r="B51" s="235"/>
      <c r="C51" s="235"/>
      <c r="D51" s="235"/>
      <c r="E51" s="235"/>
      <c r="F51" s="235"/>
      <c r="G51" s="235">
        <v>15090.0</v>
      </c>
      <c r="H51" s="235">
        <v>24131.0</v>
      </c>
      <c r="I51" s="235">
        <v>29113.0</v>
      </c>
    </row>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1253</v>
      </c>
    </row>
    <row r="2" ht="27.0" customHeight="1">
      <c r="A2" s="229" t="s">
        <v>1254</v>
      </c>
    </row>
    <row r="4" ht="24.75" customHeight="1">
      <c r="A4" s="230" t="s">
        <v>1139</v>
      </c>
      <c r="B4" s="230" t="s">
        <v>1140</v>
      </c>
      <c r="C4" s="231" t="s">
        <v>1141</v>
      </c>
      <c r="D4" s="230" t="s">
        <v>1142</v>
      </c>
      <c r="E4" s="230" t="s">
        <v>1143</v>
      </c>
      <c r="F4" s="230" t="s">
        <v>1144</v>
      </c>
      <c r="G4" s="231" t="s">
        <v>1145</v>
      </c>
      <c r="H4" s="230" t="s">
        <v>1146</v>
      </c>
      <c r="I4" s="230" t="s">
        <v>1147</v>
      </c>
    </row>
    <row r="5" ht="24.75" customHeight="1">
      <c r="A5" s="232" t="s">
        <v>1148</v>
      </c>
      <c r="B5" s="232" t="s">
        <v>1149</v>
      </c>
      <c r="C5" s="232" t="s">
        <v>1150</v>
      </c>
      <c r="D5" s="232" t="s">
        <v>1149</v>
      </c>
      <c r="E5" s="232" t="s">
        <v>1149</v>
      </c>
      <c r="F5" s="232" t="s">
        <v>1149</v>
      </c>
      <c r="G5" s="232" t="s">
        <v>1150</v>
      </c>
      <c r="H5" s="232" t="s">
        <v>1149</v>
      </c>
      <c r="I5" s="232" t="s">
        <v>1149</v>
      </c>
    </row>
    <row r="7" ht="24.75" customHeight="1">
      <c r="A7" s="233" t="s">
        <v>276</v>
      </c>
      <c r="B7" s="233"/>
      <c r="C7" s="233"/>
      <c r="D7" s="233"/>
      <c r="E7" s="233"/>
      <c r="F7" s="233"/>
      <c r="G7" s="233"/>
      <c r="H7" s="233"/>
      <c r="I7" s="233"/>
    </row>
    <row r="8" ht="21.75" customHeight="1">
      <c r="A8" s="234" t="s">
        <v>1255</v>
      </c>
      <c r="B8" s="235">
        <v>49385.0</v>
      </c>
      <c r="C8" s="235">
        <v>198084.0</v>
      </c>
      <c r="D8" s="235">
        <v>50702.0</v>
      </c>
      <c r="E8" s="235">
        <v>54190.0</v>
      </c>
      <c r="F8" s="235">
        <v>56567.0</v>
      </c>
      <c r="G8" s="235">
        <v>224532.0</v>
      </c>
      <c r="H8" s="235">
        <v>60399.0</v>
      </c>
      <c r="I8" s="235">
        <v>63271.0</v>
      </c>
    </row>
    <row r="9" ht="21.75" customHeight="1">
      <c r="A9" s="234" t="s">
        <v>1256</v>
      </c>
      <c r="B9" s="235">
        <v>8921.0</v>
      </c>
      <c r="C9" s="235">
        <v>36147.0</v>
      </c>
      <c r="D9" s="235">
        <v>8927.0</v>
      </c>
      <c r="E9" s="235">
        <v>9796.0</v>
      </c>
      <c r="F9" s="235">
        <v>10261.0</v>
      </c>
      <c r="G9" s="235">
        <v>40367.0</v>
      </c>
      <c r="H9" s="235">
        <v>9883.0</v>
      </c>
      <c r="I9" s="235">
        <v>11055.0</v>
      </c>
    </row>
    <row r="10" ht="21.75" customHeight="1">
      <c r="A10" s="234" t="s">
        <v>357</v>
      </c>
      <c r="B10" s="235">
        <v>7548.0</v>
      </c>
      <c r="C10" s="235">
        <v>30359.0</v>
      </c>
      <c r="D10" s="235">
        <v>7256.0</v>
      </c>
      <c r="E10" s="235">
        <v>7354.0</v>
      </c>
      <c r="F10" s="235">
        <v>7354.0</v>
      </c>
      <c r="G10" s="235">
        <v>29792.0</v>
      </c>
      <c r="H10" s="235">
        <v>6971.0</v>
      </c>
      <c r="I10" s="235">
        <v>7303.0</v>
      </c>
    </row>
    <row r="11" ht="21.75" customHeight="1">
      <c r="A11" s="234" t="s">
        <v>1257</v>
      </c>
      <c r="B11" s="235">
        <v>65854.0</v>
      </c>
      <c r="C11" s="235">
        <v>264590.0</v>
      </c>
      <c r="D11" s="235">
        <v>66885.0</v>
      </c>
      <c r="E11" s="235">
        <v>71340.0</v>
      </c>
      <c r="F11" s="235">
        <v>74182.0</v>
      </c>
      <c r="G11" s="235">
        <v>294691.0</v>
      </c>
      <c r="H11" s="235">
        <v>77253.0</v>
      </c>
      <c r="I11" s="235">
        <v>81629.0</v>
      </c>
    </row>
    <row r="12" ht="21.75" customHeight="1">
      <c r="A12" s="234" t="s">
        <v>1258</v>
      </c>
      <c r="B12" s="235">
        <v>10656.0</v>
      </c>
      <c r="C12" s="235">
        <v>40340.0</v>
      </c>
      <c r="D12" s="235">
        <v>10379.0</v>
      </c>
      <c r="E12" s="235">
        <v>11203.0</v>
      </c>
      <c r="F12" s="235">
        <v>12870.0</v>
      </c>
      <c r="G12" s="235">
        <v>48030.0</v>
      </c>
      <c r="H12" s="235">
        <v>12384.0</v>
      </c>
      <c r="I12" s="235">
        <v>12911.0</v>
      </c>
    </row>
    <row r="13" ht="21.75" customHeight="1">
      <c r="A13" s="234" t="s">
        <v>1259</v>
      </c>
      <c r="B13" s="235">
        <v>76510.0</v>
      </c>
      <c r="C13" s="235">
        <v>304930.0</v>
      </c>
      <c r="D13" s="235">
        <v>77264.0</v>
      </c>
      <c r="E13" s="235">
        <v>82543.0</v>
      </c>
      <c r="F13" s="235">
        <v>87052.0</v>
      </c>
      <c r="G13" s="235">
        <v>342721.0</v>
      </c>
      <c r="H13" s="235">
        <v>89637.0</v>
      </c>
      <c r="I13" s="235">
        <v>94540.0</v>
      </c>
    </row>
    <row r="15" ht="24.75" customHeight="1">
      <c r="A15" s="233" t="s">
        <v>1260</v>
      </c>
      <c r="B15" s="233"/>
      <c r="C15" s="233"/>
      <c r="D15" s="233"/>
      <c r="E15" s="233"/>
      <c r="F15" s="233"/>
      <c r="G15" s="233"/>
      <c r="H15" s="233"/>
      <c r="I15" s="233"/>
    </row>
    <row r="16" ht="21.75" customHeight="1">
      <c r="A16" s="234" t="s">
        <v>278</v>
      </c>
      <c r="B16" s="235">
        <v>11353.0</v>
      </c>
      <c r="C16" s="235">
        <v>43229.0</v>
      </c>
      <c r="D16" s="235">
        <v>12260.0</v>
      </c>
      <c r="E16" s="235">
        <v>13624.0</v>
      </c>
      <c r="F16" s="235">
        <v>15157.0</v>
      </c>
      <c r="G16" s="235">
        <v>58705.0</v>
      </c>
      <c r="H16" s="235">
        <v>20028.0</v>
      </c>
      <c r="I16" s="235">
        <v>24768.0</v>
      </c>
    </row>
    <row r="17" ht="21.75" customHeight="1">
      <c r="A17" s="234" t="s">
        <v>280</v>
      </c>
      <c r="B17" s="235">
        <v>388.0</v>
      </c>
      <c r="C17" s="235">
        <v>1648.0</v>
      </c>
      <c r="D17" s="235">
        <v>450.0</v>
      </c>
      <c r="E17" s="235">
        <v>373.0</v>
      </c>
      <c r="F17" s="235">
        <v>344.0</v>
      </c>
      <c r="G17" s="235">
        <v>1537.0</v>
      </c>
      <c r="H17" s="235">
        <v>411.0</v>
      </c>
      <c r="I17" s="235">
        <v>382.0</v>
      </c>
    </row>
    <row r="18" ht="21.75" customHeight="1">
      <c r="A18" s="234" t="s">
        <v>1261</v>
      </c>
      <c r="B18" s="235">
        <v>17.0</v>
      </c>
      <c r="C18" s="235">
        <v>211.0</v>
      </c>
      <c r="D18" s="235">
        <v>260.0</v>
      </c>
      <c r="E18" s="235">
        <v>-112.0</v>
      </c>
      <c r="F18" s="235">
        <v>-207.0</v>
      </c>
      <c r="G18" s="235">
        <v>-127.0</v>
      </c>
      <c r="H18" s="235">
        <v>-180.0</v>
      </c>
      <c r="I18" s="235">
        <v>106.0</v>
      </c>
    </row>
    <row r="19" ht="21.75" customHeight="1">
      <c r="A19" s="236" t="s">
        <v>1262</v>
      </c>
      <c r="B19" s="237">
        <v>88268.0</v>
      </c>
      <c r="C19" s="237">
        <v>350018.0</v>
      </c>
      <c r="D19" s="237">
        <v>90234.0</v>
      </c>
      <c r="E19" s="237">
        <v>96428.0</v>
      </c>
      <c r="F19" s="237">
        <v>102346.0</v>
      </c>
      <c r="G19" s="237">
        <v>402836.0</v>
      </c>
      <c r="H19" s="237">
        <v>109896.0</v>
      </c>
      <c r="I19" s="237">
        <v>119796.0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1263</v>
      </c>
    </row>
    <row r="2" ht="27.0" customHeight="1">
      <c r="A2" s="229" t="s">
        <v>1264</v>
      </c>
    </row>
    <row r="4" ht="24.75" customHeight="1">
      <c r="A4" s="230" t="s">
        <v>1139</v>
      </c>
      <c r="B4" s="230" t="s">
        <v>1140</v>
      </c>
      <c r="C4" s="231" t="s">
        <v>1141</v>
      </c>
      <c r="D4" s="230" t="s">
        <v>1142</v>
      </c>
      <c r="E4" s="230" t="s">
        <v>1143</v>
      </c>
      <c r="F4" s="230" t="s">
        <v>1144</v>
      </c>
      <c r="G4" s="231" t="s">
        <v>1145</v>
      </c>
      <c r="H4" s="230" t="s">
        <v>1146</v>
      </c>
      <c r="I4" s="230" t="s">
        <v>1147</v>
      </c>
    </row>
    <row r="5" ht="24.75" customHeight="1">
      <c r="A5" s="232" t="s">
        <v>1148</v>
      </c>
      <c r="B5" s="232" t="s">
        <v>1149</v>
      </c>
      <c r="C5" s="232" t="s">
        <v>1150</v>
      </c>
      <c r="D5" s="232" t="s">
        <v>1149</v>
      </c>
      <c r="E5" s="232" t="s">
        <v>1149</v>
      </c>
      <c r="F5" s="232" t="s">
        <v>1149</v>
      </c>
      <c r="G5" s="232" t="s">
        <v>1150</v>
      </c>
      <c r="H5" s="232" t="s">
        <v>1149</v>
      </c>
      <c r="I5" s="232" t="s">
        <v>1149</v>
      </c>
    </row>
    <row r="7" ht="24.75" customHeight="1">
      <c r="A7" s="233" t="s">
        <v>1265</v>
      </c>
      <c r="B7" s="233"/>
      <c r="C7" s="233"/>
      <c r="D7" s="233"/>
      <c r="E7" s="233"/>
      <c r="F7" s="233"/>
      <c r="G7" s="233"/>
      <c r="H7" s="233"/>
      <c r="I7" s="233"/>
    </row>
    <row r="8" ht="21.75" customHeight="1">
      <c r="A8" s="234" t="s">
        <v>276</v>
      </c>
      <c r="B8" s="235">
        <v>76510.0</v>
      </c>
      <c r="C8" s="235">
        <v>304930.0</v>
      </c>
      <c r="D8" s="235">
        <v>77264.0</v>
      </c>
      <c r="E8" s="235">
        <v>82543.0</v>
      </c>
      <c r="F8" s="235">
        <v>87052.0</v>
      </c>
      <c r="G8" s="235">
        <v>342721.0</v>
      </c>
      <c r="H8" s="235">
        <v>89637.0</v>
      </c>
      <c r="I8" s="235">
        <v>94540.0</v>
      </c>
    </row>
    <row r="9" ht="21.75" customHeight="1">
      <c r="A9" s="234" t="s">
        <v>278</v>
      </c>
      <c r="B9" s="235">
        <v>11353.0</v>
      </c>
      <c r="C9" s="235">
        <v>43229.0</v>
      </c>
      <c r="D9" s="235">
        <v>12260.0</v>
      </c>
      <c r="E9" s="235">
        <v>13624.0</v>
      </c>
      <c r="F9" s="235">
        <v>15157.0</v>
      </c>
      <c r="G9" s="235">
        <v>58705.0</v>
      </c>
      <c r="H9" s="235">
        <v>20028.0</v>
      </c>
      <c r="I9" s="235">
        <v>24768.0</v>
      </c>
    </row>
    <row r="10" ht="21.75" customHeight="1">
      <c r="A10" s="234" t="s">
        <v>280</v>
      </c>
      <c r="B10" s="235">
        <v>388.0</v>
      </c>
      <c r="C10" s="235">
        <v>1648.0</v>
      </c>
      <c r="D10" s="235">
        <v>450.0</v>
      </c>
      <c r="E10" s="235">
        <v>373.0</v>
      </c>
      <c r="F10" s="235">
        <v>344.0</v>
      </c>
      <c r="G10" s="235">
        <v>1537.0</v>
      </c>
      <c r="H10" s="235">
        <v>411.0</v>
      </c>
      <c r="I10" s="235">
        <v>382.0</v>
      </c>
    </row>
    <row r="11" ht="21.75" customHeight="1">
      <c r="A11" s="234" t="s">
        <v>1261</v>
      </c>
      <c r="B11" s="235">
        <v>17.0</v>
      </c>
      <c r="C11" s="235">
        <v>211.0</v>
      </c>
      <c r="D11" s="235">
        <v>260.0</v>
      </c>
      <c r="E11" s="235">
        <v>-112.0</v>
      </c>
      <c r="F11" s="235">
        <v>-207.0</v>
      </c>
      <c r="G11" s="235">
        <v>-127.0</v>
      </c>
      <c r="H11" s="235">
        <v>-180.0</v>
      </c>
      <c r="I11" s="235">
        <v>106.0</v>
      </c>
    </row>
    <row r="12" ht="21.75" customHeight="1">
      <c r="A12" s="236" t="s">
        <v>1262</v>
      </c>
      <c r="B12" s="237">
        <v>88268.0</v>
      </c>
      <c r="C12" s="237">
        <v>350018.0</v>
      </c>
      <c r="D12" s="237">
        <v>90234.0</v>
      </c>
      <c r="E12" s="237">
        <v>96428.0</v>
      </c>
      <c r="F12" s="237">
        <v>102346.0</v>
      </c>
      <c r="G12" s="237">
        <v>402836.0</v>
      </c>
      <c r="H12" s="237">
        <v>109896.0</v>
      </c>
      <c r="I12" s="237">
        <v>119796.0</v>
      </c>
    </row>
    <row r="14" ht="24.75" customHeight="1">
      <c r="A14" s="233" t="s">
        <v>1266</v>
      </c>
      <c r="B14" s="233"/>
      <c r="C14" s="233"/>
      <c r="D14" s="233"/>
      <c r="E14" s="233"/>
      <c r="F14" s="233"/>
      <c r="G14" s="233"/>
      <c r="H14" s="233"/>
      <c r="I14" s="233"/>
    </row>
    <row r="15" ht="21.75" customHeight="1">
      <c r="A15" s="234" t="s">
        <v>276</v>
      </c>
      <c r="B15" s="235">
        <v>30856.0</v>
      </c>
      <c r="C15" s="235">
        <v>121263.0</v>
      </c>
      <c r="D15" s="235">
        <v>32682.0</v>
      </c>
      <c r="E15" s="235">
        <v>33063.0</v>
      </c>
      <c r="F15" s="235">
        <v>33527.0</v>
      </c>
      <c r="G15" s="235">
        <v>139404.0</v>
      </c>
      <c r="H15" s="235">
        <v>40589.0</v>
      </c>
      <c r="I15" s="235">
        <v>39544.0</v>
      </c>
    </row>
    <row r="16" ht="21.75" customHeight="1">
      <c r="A16" s="234" t="s">
        <v>278</v>
      </c>
      <c r="B16" s="235">
        <v>1947.0</v>
      </c>
      <c r="C16" s="235">
        <v>6112.0</v>
      </c>
      <c r="D16" s="235">
        <v>2177.0</v>
      </c>
      <c r="E16" s="235">
        <v>2826.0</v>
      </c>
      <c r="F16" s="235">
        <v>3594.0</v>
      </c>
      <c r="G16" s="235">
        <v>13910.0</v>
      </c>
      <c r="H16" s="235">
        <v>6598.0</v>
      </c>
      <c r="I16" s="235">
        <v>8814.0</v>
      </c>
    </row>
    <row r="17" ht="21.75" customHeight="1">
      <c r="A17" s="234" t="s">
        <v>280</v>
      </c>
      <c r="B17" s="235">
        <v>-1116.0</v>
      </c>
      <c r="C17" s="235">
        <v>-4444.0</v>
      </c>
      <c r="D17" s="235">
        <v>-1226.0</v>
      </c>
      <c r="E17" s="235">
        <v>-1246.0</v>
      </c>
      <c r="F17" s="235">
        <v>-1426.0</v>
      </c>
      <c r="G17" s="235">
        <v>-7515.0</v>
      </c>
      <c r="H17" s="235">
        <v>-2100.0</v>
      </c>
      <c r="I17" s="235">
        <v>-1799.0</v>
      </c>
    </row>
    <row r="18" ht="21.75" customHeight="1">
      <c r="A18" s="234" t="s">
        <v>1267</v>
      </c>
      <c r="B18" s="235">
        <v>-3166.0</v>
      </c>
      <c r="C18" s="235">
        <v>-10541.0</v>
      </c>
      <c r="D18" s="235">
        <v>-3027.0</v>
      </c>
      <c r="E18" s="235">
        <v>-3372.0</v>
      </c>
      <c r="F18" s="235">
        <v>-4467.0</v>
      </c>
      <c r="G18" s="235">
        <v>-16760.0</v>
      </c>
      <c r="H18" s="235">
        <v>-5391.0</v>
      </c>
      <c r="I18" s="235">
        <v>-5789.0</v>
      </c>
    </row>
    <row r="19" ht="21.75" customHeight="1">
      <c r="A19" s="236" t="s">
        <v>1268</v>
      </c>
      <c r="B19" s="237">
        <v>28521.0</v>
      </c>
      <c r="C19" s="237">
        <v>112390.0</v>
      </c>
      <c r="D19" s="237">
        <v>30606.0</v>
      </c>
      <c r="E19" s="237">
        <v>31271.0</v>
      </c>
      <c r="F19" s="237">
        <v>31228.0</v>
      </c>
      <c r="G19" s="237">
        <v>129039.0</v>
      </c>
      <c r="H19" s="237">
        <v>39696.0</v>
      </c>
      <c r="I19" s="237">
        <v>40770.0</v>
      </c>
    </row>
    <row r="21" ht="24.75" customHeight="1">
      <c r="A21" s="233" t="s">
        <v>1269</v>
      </c>
      <c r="B21" s="233"/>
      <c r="C21" s="233"/>
      <c r="D21" s="233"/>
      <c r="E21" s="233"/>
      <c r="F21" s="233"/>
      <c r="G21" s="233"/>
      <c r="H21" s="233"/>
      <c r="I21" s="233"/>
    </row>
    <row r="22" ht="21.75" customHeight="1">
      <c r="A22" s="234" t="s">
        <v>1270</v>
      </c>
      <c r="B22" s="235"/>
      <c r="C22" s="235">
        <v>44560.0</v>
      </c>
      <c r="D22" s="235">
        <v>11337.0</v>
      </c>
      <c r="E22" s="235">
        <v>11306.0</v>
      </c>
      <c r="F22" s="235">
        <v>11070.0</v>
      </c>
      <c r="G22" s="235">
        <v>45124.0</v>
      </c>
      <c r="H22" s="235">
        <v>12206.0</v>
      </c>
      <c r="I22" s="235">
        <v>12275.0</v>
      </c>
    </row>
    <row r="23" ht="21.75" customHeight="1">
      <c r="A23" s="234" t="s">
        <v>1271</v>
      </c>
      <c r="B23" s="235"/>
      <c r="C23" s="235">
        <v>139107.0</v>
      </c>
      <c r="D23" s="235">
        <v>33245.0</v>
      </c>
      <c r="E23" s="235">
        <v>38174.0</v>
      </c>
      <c r="F23" s="235">
        <v>42455.0</v>
      </c>
      <c r="G23" s="235">
        <v>158193.0</v>
      </c>
      <c r="H23" s="235">
        <v>36842.0</v>
      </c>
      <c r="I23" s="235">
        <v>42721.0</v>
      </c>
    </row>
    <row r="24" ht="21.75" customHeight="1">
      <c r="A24" s="236" t="s">
        <v>1272</v>
      </c>
      <c r="B24" s="237"/>
      <c r="C24" s="237">
        <v>183667.0</v>
      </c>
      <c r="D24" s="237">
        <v>44582.0</v>
      </c>
      <c r="E24" s="237">
        <v>49480.0</v>
      </c>
      <c r="F24" s="237">
        <v>53525.0</v>
      </c>
      <c r="G24" s="237">
        <v>203317.0</v>
      </c>
      <c r="H24" s="237">
        <v>49048.0</v>
      </c>
      <c r="I24" s="237">
        <v>54996.0</v>
      </c>
    </row>
    <row r="25"/>
    <row r="26" ht="24.75" customHeight="1">
      <c r="A26" s="233" t="s">
        <v>1273</v>
      </c>
      <c r="B26" s="233"/>
      <c r="C26" s="233"/>
      <c r="D26" s="233"/>
      <c r="E26" s="233"/>
      <c r="F26" s="233"/>
      <c r="G26" s="233"/>
      <c r="H26" s="233"/>
      <c r="I26" s="233"/>
    </row>
    <row r="27" ht="21.75" customHeight="1">
      <c r="A27" s="234" t="s">
        <v>1270</v>
      </c>
      <c r="B27" s="235"/>
      <c r="C27" s="235">
        <v>20519.0</v>
      </c>
      <c r="D27" s="235">
        <v>5412.0</v>
      </c>
      <c r="E27" s="235">
        <v>5517.0</v>
      </c>
      <c r="F27" s="235">
        <v>5586.0</v>
      </c>
      <c r="G27" s="235">
        <v>22078.0</v>
      </c>
      <c r="H27" s="235">
        <v>6443.0</v>
      </c>
      <c r="I27" s="235">
        <v>6933.0</v>
      </c>
    </row>
    <row r="28" ht="21.75" customHeight="1">
      <c r="A28" s="234" t="s">
        <v>1271</v>
      </c>
      <c r="B28" s="235"/>
      <c r="C28" s="235">
        <v>16598.0</v>
      </c>
      <c r="D28" s="235">
        <v>4671.0</v>
      </c>
      <c r="E28" s="235">
        <v>5281.0</v>
      </c>
      <c r="F28" s="235">
        <v>5977.0</v>
      </c>
      <c r="G28" s="235">
        <v>22717.0</v>
      </c>
      <c r="H28" s="235">
        <v>6987.0</v>
      </c>
      <c r="I28" s="235">
        <v>9021.0</v>
      </c>
    </row>
    <row r="29" ht="21.75" customHeight="1">
      <c r="A29" s="236" t="s">
        <v>1274</v>
      </c>
      <c r="B29" s="237"/>
      <c r="C29" s="237">
        <v>37117.0</v>
      </c>
      <c r="D29" s="237">
        <v>10083.0</v>
      </c>
      <c r="E29" s="237">
        <v>10798.0</v>
      </c>
      <c r="F29" s="237">
        <v>11563.0</v>
      </c>
      <c r="G29" s="237">
        <v>44795.0</v>
      </c>
      <c r="H29" s="237">
        <v>13430.0</v>
      </c>
      <c r="I29" s="237">
        <v>15954.0</v>
      </c>
    </row>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18.0"/>
    <col customWidth="1" min="2" max="2" width="12.0"/>
    <col customWidth="1" min="3" max="3" width="16.0"/>
    <col customWidth="1" min="4" max="5" width="24.0"/>
    <col customWidth="1" min="6" max="6" width="110.0"/>
    <col customWidth="1" min="7" max="26" width="8.63"/>
  </cols>
  <sheetData>
    <row r="1" ht="33.75" customHeight="1">
      <c r="A1" s="228" t="s">
        <v>1275</v>
      </c>
    </row>
    <row r="2">
      <c r="A2" s="229" t="s">
        <v>1276</v>
      </c>
    </row>
    <row r="4" ht="24.75" customHeight="1">
      <c r="A4" s="230" t="s">
        <v>1277</v>
      </c>
      <c r="B4" s="230" t="s">
        <v>1278</v>
      </c>
      <c r="C4" s="230" t="s">
        <v>1279</v>
      </c>
      <c r="D4" s="230" t="s">
        <v>1280</v>
      </c>
      <c r="E4" s="230" t="s">
        <v>1281</v>
      </c>
      <c r="F4" s="230" t="s">
        <v>1282</v>
      </c>
    </row>
    <row r="5">
      <c r="A5" s="239" t="s">
        <v>1140</v>
      </c>
      <c r="B5" s="239" t="s">
        <v>1283</v>
      </c>
      <c r="C5" s="239" t="s">
        <v>1170</v>
      </c>
      <c r="D5" s="239" t="s">
        <v>1149</v>
      </c>
      <c r="E5" s="239" t="s">
        <v>1215</v>
      </c>
      <c r="F5" s="239" t="s">
        <v>1284</v>
      </c>
    </row>
    <row r="6">
      <c r="A6" s="239" t="s">
        <v>1141</v>
      </c>
      <c r="B6" s="239" t="s">
        <v>1285</v>
      </c>
      <c r="C6" s="239" t="s">
        <v>1171</v>
      </c>
      <c r="D6" s="239" t="s">
        <v>1150</v>
      </c>
      <c r="E6" s="239" t="s">
        <v>1150</v>
      </c>
      <c r="F6" s="239" t="s">
        <v>1286</v>
      </c>
    </row>
    <row r="7">
      <c r="A7" s="239" t="s">
        <v>1142</v>
      </c>
      <c r="B7" s="239" t="s">
        <v>1283</v>
      </c>
      <c r="C7" s="239" t="s">
        <v>1172</v>
      </c>
      <c r="D7" s="239" t="s">
        <v>1149</v>
      </c>
      <c r="E7" s="239" t="s">
        <v>1149</v>
      </c>
      <c r="F7" s="239" t="s">
        <v>1287</v>
      </c>
    </row>
    <row r="8">
      <c r="A8" s="239" t="s">
        <v>1143</v>
      </c>
      <c r="B8" s="239" t="s">
        <v>1283</v>
      </c>
      <c r="C8" s="239" t="s">
        <v>1173</v>
      </c>
      <c r="D8" s="239" t="s">
        <v>1149</v>
      </c>
      <c r="E8" s="239" t="s">
        <v>1216</v>
      </c>
      <c r="F8" s="239" t="s">
        <v>1288</v>
      </c>
    </row>
    <row r="9">
      <c r="A9" s="239" t="s">
        <v>1144</v>
      </c>
      <c r="B9" s="239" t="s">
        <v>1283</v>
      </c>
      <c r="C9" s="239" t="s">
        <v>1174</v>
      </c>
      <c r="D9" s="239" t="s">
        <v>1149</v>
      </c>
      <c r="E9" s="239" t="s">
        <v>1215</v>
      </c>
      <c r="F9" s="239" t="s">
        <v>1289</v>
      </c>
    </row>
    <row r="10">
      <c r="A10" s="239" t="s">
        <v>1145</v>
      </c>
      <c r="B10" s="239" t="s">
        <v>1285</v>
      </c>
      <c r="C10" s="239" t="s">
        <v>1175</v>
      </c>
      <c r="D10" s="239" t="s">
        <v>1150</v>
      </c>
      <c r="E10" s="239" t="s">
        <v>1150</v>
      </c>
      <c r="F10" s="239" t="s">
        <v>1290</v>
      </c>
    </row>
    <row r="11">
      <c r="A11" s="239" t="s">
        <v>1146</v>
      </c>
      <c r="B11" s="239" t="s">
        <v>1283</v>
      </c>
      <c r="C11" s="239" t="s">
        <v>1176</v>
      </c>
      <c r="D11" s="239" t="s">
        <v>1149</v>
      </c>
      <c r="E11" s="239" t="s">
        <v>1149</v>
      </c>
      <c r="F11" s="239" t="s">
        <v>1291</v>
      </c>
    </row>
    <row r="12">
      <c r="A12" s="239" t="s">
        <v>1147</v>
      </c>
      <c r="B12" s="239" t="s">
        <v>1283</v>
      </c>
      <c r="C12" s="239" t="s">
        <v>1177</v>
      </c>
      <c r="D12" s="239" t="s">
        <v>1149</v>
      </c>
      <c r="E12" s="239" t="s">
        <v>1216</v>
      </c>
      <c r="F12" s="239" t="s">
        <v>996</v>
      </c>
    </row>
    <row r="14" ht="24.75" customHeight="1">
      <c r="A14" s="233" t="s">
        <v>1292</v>
      </c>
      <c r="B14" s="233"/>
      <c r="C14" s="233"/>
      <c r="D14" s="233"/>
      <c r="E14" s="233"/>
      <c r="F14" s="233"/>
    </row>
    <row r="15">
      <c r="A15" s="229" t="s">
        <v>1293</v>
      </c>
    </row>
    <row r="16">
      <c r="A16" s="229" t="s">
        <v>1294</v>
      </c>
    </row>
    <row r="17">
      <c r="A17" s="229" t="s">
        <v>1295</v>
      </c>
    </row>
    <row r="18">
      <c r="A18" s="229" t="s">
        <v>1296</v>
      </c>
    </row>
    <row r="19">
      <c r="A19" s="229" t="s">
        <v>1297</v>
      </c>
    </row>
    <row r="20">
      <c r="A20" s="229" t="s">
        <v>1298</v>
      </c>
    </row>
    <row r="21"/>
    <row r="22"/>
    <row r="23"/>
    <row r="24"/>
    <row r="25"/>
    <row r="26"/>
    <row r="27"/>
    <row r="28"/>
    <row r="29"/>
    <row r="30"/>
    <row r="31"/>
    <row r="32"/>
    <row r="33"/>
    <row r="34"/>
    <row r="35">
      <c r="A35" s="6" t="s">
        <v>1299</v>
      </c>
      <c r="B35" s="58" t="s">
        <v>1076</v>
      </c>
      <c r="C35" s="58" t="s">
        <v>1077</v>
      </c>
      <c r="D35" s="58" t="s">
        <v>1078</v>
      </c>
      <c r="E35" s="58" t="s">
        <v>1079</v>
      </c>
      <c r="F35" s="6" t="s">
        <v>6</v>
      </c>
      <c r="G35" s="6" t="s">
        <v>995</v>
      </c>
      <c r="H35" s="6"/>
      <c r="I35" s="6"/>
      <c r="J35" s="6"/>
    </row>
    <row r="36">
      <c r="A36" s="3" t="s">
        <v>1300</v>
      </c>
      <c r="B36" s="240">
        <v>2300.0</v>
      </c>
      <c r="C36" s="240">
        <v>3000.0</v>
      </c>
      <c r="D36" s="240">
        <v>0.0</v>
      </c>
      <c r="E36" s="240">
        <v>0.0</v>
      </c>
      <c r="F36" s="10" t="s">
        <v>1301</v>
      </c>
      <c r="G36" s="10" t="s">
        <v>1302</v>
      </c>
      <c r="H36" s="10"/>
      <c r="I36" s="10"/>
      <c r="J36" s="10"/>
    </row>
    <row r="37">
      <c r="A37" s="3" t="s">
        <v>1303</v>
      </c>
      <c r="B37" s="240">
        <v>999.0</v>
      </c>
      <c r="C37" s="240">
        <v>1000.0</v>
      </c>
      <c r="D37" s="240">
        <v>1996.0</v>
      </c>
      <c r="E37" s="240">
        <v>1999.0</v>
      </c>
      <c r="F37" s="10" t="s">
        <v>1301</v>
      </c>
      <c r="G37" s="10" t="s">
        <v>1302</v>
      </c>
      <c r="H37" s="10"/>
      <c r="I37" s="10"/>
      <c r="J37" s="10"/>
    </row>
    <row r="38">
      <c r="A38" s="3" t="s">
        <v>1304</v>
      </c>
      <c r="B38" s="240">
        <v>235.0</v>
      </c>
      <c r="C38" s="240">
        <v>100.0</v>
      </c>
      <c r="D38" s="240">
        <v>441.0</v>
      </c>
      <c r="E38" s="240">
        <v>449.0</v>
      </c>
      <c r="F38" s="10" t="s">
        <v>1301</v>
      </c>
      <c r="G38" s="10" t="s">
        <v>1302</v>
      </c>
      <c r="H38" s="10"/>
      <c r="I38" s="10"/>
      <c r="J38" s="10"/>
    </row>
    <row r="39">
      <c r="A39" s="3" t="s">
        <v>1305</v>
      </c>
      <c r="B39" s="240">
        <v>2887.0</v>
      </c>
      <c r="C39" s="240">
        <v>3007.0</v>
      </c>
      <c r="D39" s="240">
        <v>3209.0</v>
      </c>
      <c r="E39" s="240">
        <v>3446.0</v>
      </c>
      <c r="F39" s="10" t="s">
        <v>1301</v>
      </c>
      <c r="G39" s="10" t="s">
        <v>1302</v>
      </c>
      <c r="H39" s="10"/>
      <c r="I39" s="10"/>
      <c r="J39" s="10"/>
    </row>
    <row r="40">
      <c r="A40" s="3" t="s">
        <v>1306</v>
      </c>
      <c r="B40" s="240">
        <v>3866.0</v>
      </c>
      <c r="C40" s="240">
        <v>3112.0</v>
      </c>
      <c r="D40" s="240">
        <v>950.0</v>
      </c>
      <c r="E40" s="240">
        <v>822.0</v>
      </c>
      <c r="F40" s="10" t="s">
        <v>1301</v>
      </c>
      <c r="G40" s="10" t="s">
        <v>1302</v>
      </c>
      <c r="H40" s="10"/>
      <c r="I40" s="10"/>
      <c r="J40" s="10"/>
    </row>
    <row r="41">
      <c r="A41" s="3" t="s">
        <v>1307</v>
      </c>
      <c r="B41" s="240">
        <v>2905.0</v>
      </c>
      <c r="C41" s="240">
        <v>786.0</v>
      </c>
      <c r="D41" s="240">
        <v>523.0</v>
      </c>
      <c r="E41" s="240">
        <v>5233.0</v>
      </c>
      <c r="F41" s="10" t="s">
        <v>1301</v>
      </c>
      <c r="G41" s="10" t="s">
        <v>1302</v>
      </c>
      <c r="H41" s="10"/>
      <c r="I41" s="10"/>
      <c r="J41" s="10"/>
    </row>
    <row r="42">
      <c r="A42" s="3" t="s">
        <v>1308</v>
      </c>
      <c r="B42" s="240">
        <v>10326.0</v>
      </c>
      <c r="C42" s="240">
        <v>10618.0</v>
      </c>
      <c r="D42" s="240">
        <v>15090.0</v>
      </c>
      <c r="E42" s="240">
        <v>29113.0</v>
      </c>
      <c r="F42" s="10" t="s">
        <v>1309</v>
      </c>
      <c r="G42" s="10" t="s">
        <v>1302</v>
      </c>
      <c r="H42" s="10"/>
      <c r="I42" s="10"/>
      <c r="J42" s="10"/>
    </row>
    <row r="43">
      <c r="A43" s="3" t="s">
        <v>1310</v>
      </c>
      <c r="B43" s="240">
        <v>50597.0</v>
      </c>
      <c r="C43" s="240">
        <v>61700.0</v>
      </c>
      <c r="D43" s="240">
        <v>78592.0</v>
      </c>
      <c r="E43" s="240">
        <v>122814.0</v>
      </c>
      <c r="F43" s="10" t="s">
        <v>1311</v>
      </c>
      <c r="G43" s="10" t="s">
        <v>1302</v>
      </c>
      <c r="H43" s="10"/>
      <c r="I43" s="10"/>
      <c r="J43" s="10"/>
    </row>
    <row r="44">
      <c r="A44" s="3"/>
      <c r="B44" s="3"/>
      <c r="C44" s="3"/>
      <c r="D44" s="3"/>
      <c r="E44" s="3"/>
      <c r="F44" s="10"/>
      <c r="G44" s="10"/>
      <c r="H44" s="10"/>
      <c r="I44" s="10"/>
      <c r="J44" s="10"/>
    </row>
    <row r="45">
      <c r="A45" s="3"/>
      <c r="B45" s="3"/>
      <c r="C45" s="3"/>
      <c r="D45" s="3"/>
      <c r="E45" s="3"/>
      <c r="F45" s="10"/>
      <c r="G45" s="10"/>
      <c r="H45" s="10"/>
      <c r="I45" s="10"/>
      <c r="J45" s="10"/>
    </row>
    <row r="46">
      <c r="A46" s="6" t="s">
        <v>371</v>
      </c>
      <c r="B46" s="6" t="s">
        <v>1033</v>
      </c>
      <c r="C46" s="6" t="s">
        <v>1034</v>
      </c>
      <c r="D46" s="6" t="s">
        <v>1035</v>
      </c>
      <c r="E46" s="6" t="s">
        <v>49</v>
      </c>
      <c r="F46" s="58" t="s">
        <v>50</v>
      </c>
      <c r="G46" s="58" t="s">
        <v>51</v>
      </c>
      <c r="H46" s="58" t="s">
        <v>52</v>
      </c>
      <c r="I46" s="58" t="s">
        <v>53</v>
      </c>
      <c r="J46" s="58" t="s">
        <v>54</v>
      </c>
    </row>
    <row r="47">
      <c r="A47" s="3" t="s">
        <v>1312</v>
      </c>
      <c r="B47" s="3"/>
      <c r="C47" s="240">
        <v>246.0</v>
      </c>
      <c r="D47" s="240">
        <v>545.0</v>
      </c>
      <c r="E47" s="240">
        <v>747.0</v>
      </c>
      <c r="F47" s="241">
        <v>1304.0</v>
      </c>
      <c r="G47" s="241">
        <v>1142.0</v>
      </c>
      <c r="H47" s="241">
        <v>1096.0</v>
      </c>
      <c r="I47" s="241">
        <v>1055.0</v>
      </c>
      <c r="J47" s="10"/>
    </row>
    <row r="48">
      <c r="A48" s="55" t="s">
        <v>1313</v>
      </c>
    </row>
    <row r="49">
      <c r="A49" s="55" t="s">
        <v>996</v>
      </c>
    </row>
    <row r="50">
      <c r="A50" s="3"/>
      <c r="B50" s="3"/>
      <c r="C50" s="3"/>
      <c r="D50" s="3"/>
      <c r="E50" s="3"/>
      <c r="F50" s="10"/>
      <c r="G50" s="10"/>
      <c r="H50" s="10"/>
      <c r="I50" s="10"/>
      <c r="J50" s="10"/>
    </row>
    <row r="51">
      <c r="A51" s="3" t="s">
        <v>1314</v>
      </c>
      <c r="B51" s="240">
        <v>195000.0</v>
      </c>
      <c r="C51" s="3" t="s">
        <v>74</v>
      </c>
      <c r="D51" s="3" t="s">
        <v>1315</v>
      </c>
      <c r="E51" s="3"/>
      <c r="F51" s="10"/>
      <c r="G51" s="10"/>
      <c r="H51" s="10"/>
      <c r="I51" s="10"/>
      <c r="J51" s="10"/>
    </row>
    <row r="52">
      <c r="A52" s="3" t="s">
        <v>1316</v>
      </c>
      <c r="B52" s="240">
        <v>205000.0</v>
      </c>
      <c r="C52" s="3" t="s">
        <v>74</v>
      </c>
      <c r="D52" s="3" t="s">
        <v>1317</v>
      </c>
      <c r="E52" s="3"/>
      <c r="F52" s="10"/>
      <c r="G52" s="10"/>
      <c r="H52" s="10"/>
      <c r="I52" s="10"/>
      <c r="J52" s="10"/>
    </row>
    <row r="53">
      <c r="A53" s="3" t="s">
        <v>1318</v>
      </c>
      <c r="B53" s="240">
        <v>200700.0</v>
      </c>
      <c r="C53" s="242" t="s">
        <v>1319</v>
      </c>
      <c r="D53" s="3" t="s">
        <v>996</v>
      </c>
      <c r="E53" s="3"/>
      <c r="F53" s="10"/>
      <c r="G53" s="10"/>
      <c r="H53" s="10"/>
      <c r="I53" s="10"/>
      <c r="J53" s="10"/>
    </row>
    <row r="54">
      <c r="A54" s="3" t="s">
        <v>1320</v>
      </c>
      <c r="B54" s="240">
        <v>7100.0</v>
      </c>
      <c r="C54" s="3" t="s">
        <v>1321</v>
      </c>
      <c r="D54" s="3" t="s">
        <v>996</v>
      </c>
      <c r="E54" s="3"/>
      <c r="F54" s="10"/>
      <c r="G54" s="10"/>
      <c r="H54" s="10"/>
      <c r="I54" s="10"/>
      <c r="J54" s="10"/>
    </row>
    <row r="55">
      <c r="A55" s="3" t="s">
        <v>1322</v>
      </c>
      <c r="B55" s="240">
        <v>2590.0</v>
      </c>
      <c r="C55" s="3" t="s">
        <v>1323</v>
      </c>
      <c r="D55" s="3" t="s">
        <v>996</v>
      </c>
      <c r="E55" s="3"/>
      <c r="F55" s="10"/>
      <c r="G55" s="10"/>
      <c r="H55" s="10"/>
      <c r="I55" s="10"/>
      <c r="J55" s="10"/>
    </row>
    <row r="56">
      <c r="A56" s="3" t="s">
        <v>1324</v>
      </c>
      <c r="B56" s="240">
        <v>3550.0</v>
      </c>
      <c r="C56" s="3" t="s">
        <v>1325</v>
      </c>
      <c r="D56" s="3" t="s">
        <v>996</v>
      </c>
      <c r="E56" s="3"/>
      <c r="F56" s="10"/>
      <c r="G56" s="10"/>
      <c r="H56" s="10"/>
      <c r="I56" s="10"/>
      <c r="J56" s="10"/>
    </row>
    <row r="57">
      <c r="A57" s="3"/>
      <c r="B57" s="3"/>
      <c r="C57" s="3"/>
      <c r="D57" s="3"/>
      <c r="E57" s="3"/>
      <c r="F57" s="10"/>
      <c r="G57" s="10"/>
      <c r="H57" s="10"/>
      <c r="I57" s="10"/>
      <c r="J57" s="10"/>
    </row>
    <row r="58">
      <c r="A58" s="55" t="s">
        <v>1326</v>
      </c>
    </row>
    <row r="59">
      <c r="A59" s="3"/>
      <c r="B59" s="3"/>
      <c r="C59" s="3"/>
      <c r="D59" s="3"/>
      <c r="E59" s="3"/>
      <c r="F59" s="10"/>
      <c r="G59" s="10"/>
      <c r="H59" s="10"/>
      <c r="I59" s="10"/>
      <c r="J59" s="10"/>
    </row>
    <row r="60">
      <c r="A60" s="6" t="s">
        <v>1327</v>
      </c>
      <c r="B60" s="6">
        <v>2021.0</v>
      </c>
      <c r="C60" s="6">
        <v>2022.0</v>
      </c>
      <c r="D60" s="6">
        <v>2023.0</v>
      </c>
      <c r="E60" s="6">
        <v>2024.0</v>
      </c>
      <c r="F60" s="6">
        <v>2025.0</v>
      </c>
      <c r="G60" s="6" t="s">
        <v>995</v>
      </c>
      <c r="H60" s="6"/>
      <c r="I60" s="6"/>
      <c r="J60" s="6"/>
    </row>
    <row r="61">
      <c r="A61" s="3" t="s">
        <v>625</v>
      </c>
      <c r="B61" s="240">
        <v>257637.0</v>
      </c>
      <c r="C61" s="240">
        <v>282836.0</v>
      </c>
      <c r="D61" s="240">
        <v>307394.0</v>
      </c>
      <c r="E61" s="240">
        <v>350018.0</v>
      </c>
      <c r="F61" s="241">
        <v>402836.0</v>
      </c>
      <c r="G61" s="10" t="s">
        <v>1328</v>
      </c>
      <c r="H61" s="10"/>
      <c r="I61" s="10"/>
      <c r="J61" s="10"/>
    </row>
    <row r="62">
      <c r="A62" s="3" t="s">
        <v>1113</v>
      </c>
      <c r="B62" s="240">
        <v>78714.0</v>
      </c>
      <c r="C62" s="240">
        <v>74842.0</v>
      </c>
      <c r="D62" s="240">
        <v>84293.0</v>
      </c>
      <c r="E62" s="240">
        <v>112390.0</v>
      </c>
      <c r="F62" s="241">
        <v>129039.0</v>
      </c>
      <c r="G62" s="10" t="s">
        <v>1328</v>
      </c>
      <c r="H62" s="10"/>
      <c r="I62" s="10"/>
      <c r="J62" s="10"/>
    </row>
    <row r="63">
      <c r="A63" s="3" t="s">
        <v>1114</v>
      </c>
      <c r="B63" s="240">
        <v>237529.0</v>
      </c>
      <c r="C63" s="240">
        <v>253528.0</v>
      </c>
      <c r="D63" s="240">
        <v>272543.0</v>
      </c>
      <c r="E63" s="240">
        <v>304930.0</v>
      </c>
      <c r="F63" s="241">
        <v>342721.0</v>
      </c>
      <c r="G63" s="10" t="s">
        <v>1328</v>
      </c>
      <c r="H63" s="10"/>
      <c r="I63" s="10"/>
      <c r="J63" s="10"/>
    </row>
    <row r="64">
      <c r="A64" s="3" t="s">
        <v>1115</v>
      </c>
      <c r="B64" s="240">
        <v>88132.0</v>
      </c>
      <c r="C64" s="240">
        <v>82699.0</v>
      </c>
      <c r="D64" s="240">
        <v>95858.0</v>
      </c>
      <c r="E64" s="240">
        <v>121263.0</v>
      </c>
      <c r="F64" s="241">
        <v>139404.0</v>
      </c>
      <c r="G64" s="10" t="s">
        <v>1328</v>
      </c>
      <c r="H64" s="10"/>
      <c r="I64" s="10"/>
      <c r="J64" s="10"/>
    </row>
    <row r="65">
      <c r="A65" s="3" t="s">
        <v>1116</v>
      </c>
      <c r="B65" s="240">
        <v>19206.0</v>
      </c>
      <c r="C65" s="240">
        <v>26280.0</v>
      </c>
      <c r="D65" s="240">
        <v>33088.0</v>
      </c>
      <c r="E65" s="240">
        <v>43229.0</v>
      </c>
      <c r="F65" s="241">
        <v>58705.0</v>
      </c>
      <c r="G65" s="10" t="s">
        <v>1328</v>
      </c>
      <c r="H65" s="10"/>
      <c r="I65" s="10"/>
      <c r="J65" s="10"/>
    </row>
    <row r="66">
      <c r="A66" s="3" t="s">
        <v>1117</v>
      </c>
      <c r="B66" s="240">
        <v>-2282.0</v>
      </c>
      <c r="C66" s="240">
        <v>-1922.0</v>
      </c>
      <c r="D66" s="240">
        <v>1716.0</v>
      </c>
      <c r="E66" s="240">
        <v>6112.0</v>
      </c>
      <c r="F66" s="241">
        <v>13910.0</v>
      </c>
      <c r="G66" s="10" t="s">
        <v>1328</v>
      </c>
      <c r="H66" s="10"/>
      <c r="I66" s="10"/>
      <c r="J66" s="10"/>
    </row>
    <row r="67">
      <c r="A67" s="3" t="s">
        <v>1085</v>
      </c>
      <c r="B67" s="240">
        <v>97599.0</v>
      </c>
      <c r="C67" s="240">
        <v>112668.0</v>
      </c>
      <c r="D67" s="240">
        <v>134345.0</v>
      </c>
      <c r="E67" s="240">
        <v>171036.0</v>
      </c>
      <c r="F67" s="241">
        <v>246597.0</v>
      </c>
      <c r="G67" s="10" t="s">
        <v>1328</v>
      </c>
      <c r="H67" s="10"/>
      <c r="I67" s="10"/>
      <c r="J67" s="10"/>
    </row>
    <row r="68">
      <c r="A68" s="3" t="s">
        <v>1050</v>
      </c>
      <c r="B68" s="240">
        <v>91652.0</v>
      </c>
      <c r="C68" s="240">
        <v>91495.0</v>
      </c>
      <c r="D68" s="240">
        <v>101746.0</v>
      </c>
      <c r="E68" s="240">
        <v>125299.0</v>
      </c>
      <c r="F68" s="241">
        <v>164713.0</v>
      </c>
      <c r="G68" s="10" t="s">
        <v>1328</v>
      </c>
      <c r="H68" s="10"/>
      <c r="I68" s="10"/>
      <c r="J68" s="10"/>
    </row>
    <row r="69">
      <c r="A69" s="3" t="s">
        <v>376</v>
      </c>
      <c r="B69" s="240">
        <v>24640.0</v>
      </c>
      <c r="C69" s="240">
        <v>31485.0</v>
      </c>
      <c r="D69" s="240">
        <v>32251.0</v>
      </c>
      <c r="E69" s="240">
        <v>52535.0</v>
      </c>
      <c r="F69" s="241">
        <v>91447.0</v>
      </c>
      <c r="G69" s="10" t="s">
        <v>1328</v>
      </c>
      <c r="H69" s="10"/>
      <c r="I69" s="10"/>
      <c r="J69" s="10"/>
    </row>
    <row r="70">
      <c r="A70" s="3" t="s">
        <v>1052</v>
      </c>
      <c r="B70" s="240">
        <v>15376.0</v>
      </c>
      <c r="C70" s="240">
        <v>19362.0</v>
      </c>
      <c r="D70" s="240">
        <v>22460.0</v>
      </c>
      <c r="E70" s="240">
        <v>22785.0</v>
      </c>
      <c r="F70" s="241">
        <v>24953.0</v>
      </c>
      <c r="G70" s="10" t="s">
        <v>1328</v>
      </c>
      <c r="H70" s="10"/>
      <c r="I70" s="10"/>
      <c r="J70" s="10"/>
    </row>
    <row r="71">
      <c r="A71" s="3" t="s">
        <v>1054</v>
      </c>
      <c r="B71" s="240">
        <v>10273.0</v>
      </c>
      <c r="C71" s="240">
        <v>13475.0</v>
      </c>
      <c r="D71" s="240">
        <v>11946.0</v>
      </c>
      <c r="E71" s="240">
        <v>15311.0</v>
      </c>
      <c r="F71" s="241">
        <v>21136.0</v>
      </c>
      <c r="G71" s="10" t="s">
        <v>1328</v>
      </c>
      <c r="H71" s="10"/>
      <c r="I71" s="10"/>
      <c r="J71" s="10"/>
    </row>
    <row r="72">
      <c r="A72" s="3"/>
      <c r="B72" s="3"/>
      <c r="C72" s="3"/>
      <c r="D72" s="3"/>
      <c r="E72" s="3"/>
      <c r="F72" s="10"/>
      <c r="G72" s="10"/>
      <c r="H72" s="10"/>
      <c r="I72" s="10"/>
      <c r="J72" s="10"/>
    </row>
    <row r="73">
      <c r="A73" s="3"/>
      <c r="B73" s="3"/>
      <c r="C73" s="3"/>
      <c r="D73" s="3"/>
      <c r="E73" s="3"/>
      <c r="F73" s="10"/>
      <c r="G73" s="10"/>
      <c r="H73" s="10"/>
      <c r="I73" s="10"/>
      <c r="J73" s="10"/>
    </row>
    <row r="74">
      <c r="A74" s="6" t="s">
        <v>1329</v>
      </c>
      <c r="B74" s="6" t="s">
        <v>1033</v>
      </c>
      <c r="C74" s="6" t="s">
        <v>341</v>
      </c>
      <c r="D74" s="6" t="s">
        <v>1330</v>
      </c>
      <c r="E74" s="6"/>
      <c r="F74" s="6"/>
      <c r="G74" s="6"/>
      <c r="H74" s="6"/>
      <c r="I74" s="6"/>
      <c r="J74" s="6"/>
    </row>
    <row r="75">
      <c r="A75" s="3" t="s">
        <v>625</v>
      </c>
      <c r="B75" s="240">
        <v>402836.0</v>
      </c>
      <c r="C75" s="240">
        <v>445866.0</v>
      </c>
      <c r="D75" s="3" t="s">
        <v>1331</v>
      </c>
      <c r="E75" s="3"/>
      <c r="F75" s="10"/>
      <c r="G75" s="10"/>
      <c r="H75" s="10"/>
      <c r="I75" s="10"/>
      <c r="J75" s="10"/>
    </row>
    <row r="76">
      <c r="A76" s="3" t="s">
        <v>711</v>
      </c>
      <c r="B76" s="240">
        <v>129039.0</v>
      </c>
      <c r="C76" s="240">
        <v>147628.0</v>
      </c>
      <c r="D76" s="3" t="s">
        <v>1331</v>
      </c>
      <c r="E76" s="3"/>
      <c r="F76" s="10"/>
      <c r="G76" s="10"/>
      <c r="H76" s="10"/>
      <c r="I76" s="10"/>
      <c r="J76" s="10"/>
    </row>
    <row r="77">
      <c r="A77" s="3" t="s">
        <v>1332</v>
      </c>
      <c r="B77" s="240">
        <v>101940.81</v>
      </c>
      <c r="C77" s="240">
        <v>116626.12</v>
      </c>
      <c r="D77" s="3" t="s">
        <v>1331</v>
      </c>
      <c r="E77" s="3"/>
      <c r="F77" s="10"/>
      <c r="G77" s="10"/>
      <c r="H77" s="10"/>
      <c r="I77" s="10"/>
      <c r="J77" s="10"/>
    </row>
    <row r="78">
      <c r="A78" s="3" t="s">
        <v>1333</v>
      </c>
      <c r="B78" s="240">
        <v>209371.0</v>
      </c>
      <c r="C78" s="240">
        <v>272912.5</v>
      </c>
      <c r="D78" s="3" t="s">
        <v>1331</v>
      </c>
      <c r="E78" s="3"/>
      <c r="F78" s="10"/>
      <c r="G78" s="10"/>
      <c r="H78" s="10"/>
      <c r="I78" s="10"/>
      <c r="J78" s="10"/>
    </row>
    <row r="79">
      <c r="A79" s="3" t="s">
        <v>1051</v>
      </c>
      <c r="B79" s="240">
        <v>73266.0</v>
      </c>
      <c r="C79" s="240">
        <v>53273.0</v>
      </c>
      <c r="D79" s="3" t="s">
        <v>1331</v>
      </c>
      <c r="E79" s="3"/>
      <c r="F79" s="10"/>
      <c r="G79" s="10"/>
      <c r="H79" s="10"/>
      <c r="I79" s="10"/>
      <c r="J79" s="10"/>
    </row>
    <row r="80">
      <c r="A80" s="3" t="s">
        <v>1053</v>
      </c>
      <c r="B80" s="240">
        <v>48313.0</v>
      </c>
      <c r="C80" s="240">
        <v>25126.0</v>
      </c>
      <c r="D80" s="3" t="s">
        <v>1331</v>
      </c>
      <c r="E80" s="3"/>
      <c r="F80" s="10"/>
      <c r="G80" s="10"/>
      <c r="H80" s="10"/>
      <c r="I80" s="10"/>
      <c r="J80" s="10"/>
    </row>
    <row r="81"/>
    <row r="82"/>
    <row r="83">
      <c r="A83" s="6" t="s">
        <v>1334</v>
      </c>
      <c r="B83" s="58" t="s">
        <v>1078</v>
      </c>
      <c r="C83" s="58" t="s">
        <v>1079</v>
      </c>
      <c r="D83" s="6" t="s">
        <v>265</v>
      </c>
    </row>
    <row r="84" ht="33.0" customHeight="1">
      <c r="A84" s="10" t="s">
        <v>1335</v>
      </c>
      <c r="B84" s="43">
        <v>0.0</v>
      </c>
      <c r="C84" s="43">
        <v>7100.0</v>
      </c>
      <c r="D84" s="10" t="s">
        <v>1336</v>
      </c>
    </row>
    <row r="85" ht="33.0" customHeight="1">
      <c r="A85" s="10" t="s">
        <v>1337</v>
      </c>
      <c r="B85" s="43">
        <v>15594.0</v>
      </c>
      <c r="C85" s="43">
        <v>17356.0</v>
      </c>
      <c r="D85" s="10" t="s">
        <v>1338</v>
      </c>
    </row>
    <row r="86" ht="33.0" customHeight="1">
      <c r="A86" s="10" t="s">
        <v>1339</v>
      </c>
      <c r="B86" s="43">
        <v>8877.0</v>
      </c>
      <c r="C86" s="43">
        <v>16196.0</v>
      </c>
      <c r="D86" s="10" t="s">
        <v>1340</v>
      </c>
    </row>
    <row r="87" ht="33.0" customHeight="1">
      <c r="A87" s="10" t="s">
        <v>1341</v>
      </c>
      <c r="B87" s="43"/>
      <c r="C87" s="43">
        <v>5200.0</v>
      </c>
      <c r="D87" s="10" t="s">
        <v>1342</v>
      </c>
    </row>
    <row r="88" ht="33.0" customHeight="1">
      <c r="A88" s="10" t="s">
        <v>1343</v>
      </c>
      <c r="B88" s="43">
        <v>31407.0</v>
      </c>
      <c r="C88" s="43"/>
      <c r="D88" s="10" t="s">
        <v>1344</v>
      </c>
    </row>
    <row r="89" ht="33.0" customHeight="1">
      <c r="A89" s="7" t="s">
        <v>1345</v>
      </c>
      <c r="B89" s="243">
        <v>0.05</v>
      </c>
      <c r="C89" s="43"/>
      <c r="D89" s="244" t="s">
        <v>1346</v>
      </c>
    </row>
    <row r="90" ht="33.0" customHeight="1">
      <c r="A90" s="10" t="s">
        <v>1347</v>
      </c>
      <c r="B90" s="43">
        <v>126000.0</v>
      </c>
      <c r="C90" s="43"/>
      <c r="D90" s="10" t="s">
        <v>1348</v>
      </c>
    </row>
    <row r="91" ht="33.0" customHeight="1">
      <c r="A91" s="10" t="s">
        <v>1349</v>
      </c>
      <c r="B91" s="43">
        <v>16000.0</v>
      </c>
      <c r="C91" s="43"/>
      <c r="D91" s="10" t="s">
        <v>1350</v>
      </c>
    </row>
    <row r="92" ht="33.0" customHeight="1">
      <c r="A92" s="10" t="s">
        <v>1351</v>
      </c>
      <c r="B92" s="43">
        <v>513900.0</v>
      </c>
      <c r="C92" s="43"/>
      <c r="D92" s="10" t="s">
        <v>1352</v>
      </c>
    </row>
    <row r="93" ht="33.0" customHeight="1">
      <c r="A93" s="10" t="s">
        <v>1353</v>
      </c>
      <c r="B93" s="43">
        <v>519500.0</v>
      </c>
      <c r="C93" s="43"/>
      <c r="D93" s="10" t="s">
        <v>1354</v>
      </c>
    </row>
    <row r="94" ht="33.0" customHeight="1">
      <c r="A94" s="10" t="s">
        <v>1355</v>
      </c>
      <c r="B94" s="245">
        <v>0.5</v>
      </c>
      <c r="C94" s="10"/>
      <c r="D94" s="10" t="s">
        <v>1356</v>
      </c>
    </row>
    <row r="95" ht="33.0" customHeight="1">
      <c r="A95" s="10" t="s">
        <v>1357</v>
      </c>
      <c r="B95" s="7" t="s">
        <v>1358</v>
      </c>
      <c r="C95" s="10"/>
      <c r="D95" s="7" t="s">
        <v>1359</v>
      </c>
    </row>
    <row r="96"/>
    <row r="97" ht="33.75" customHeight="1">
      <c r="A97" s="54" t="s">
        <v>1360</v>
      </c>
      <c r="B97" s="54">
        <v>2439.0</v>
      </c>
      <c r="D97" s="54" t="s">
        <v>1361</v>
      </c>
    </row>
    <row r="98" ht="33.75" customHeight="1">
      <c r="A98" s="54" t="s">
        <v>1362</v>
      </c>
      <c r="B98" s="54">
        <v>13870.0</v>
      </c>
      <c r="D98" s="246" t="s">
        <v>996</v>
      </c>
    </row>
    <row r="99"/>
    <row r="100" ht="46.5" customHeight="1">
      <c r="A100" s="81" t="s">
        <v>1363</v>
      </c>
      <c r="B100" s="81">
        <v>79819.0</v>
      </c>
      <c r="C100" s="83"/>
      <c r="D100" s="81" t="s">
        <v>1364</v>
      </c>
    </row>
    <row r="101" ht="46.5" customHeight="1">
      <c r="A101" s="81" t="s">
        <v>1365</v>
      </c>
      <c r="B101" s="81">
        <v>30782.0</v>
      </c>
      <c r="C101" s="83"/>
      <c r="D101" s="81" t="s">
        <v>1366</v>
      </c>
    </row>
    <row r="102" ht="46.5" customHeight="1">
      <c r="A102" s="81" t="s">
        <v>1367</v>
      </c>
      <c r="B102" s="81">
        <v>20000.0</v>
      </c>
      <c r="C102" s="83"/>
      <c r="D102" s="81" t="s">
        <v>1368</v>
      </c>
    </row>
    <row r="103" ht="46.5" customHeight="1">
      <c r="A103" s="81" t="s">
        <v>1369</v>
      </c>
      <c r="B103" s="81">
        <v>2027.0</v>
      </c>
      <c r="C103" s="83"/>
      <c r="D103" s="81" t="s">
        <v>1370</v>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1">
    <mergeCell ref="A48:J48"/>
    <mergeCell ref="A49:J49"/>
    <mergeCell ref="A58:J58"/>
    <mergeCell ref="D84:J84"/>
    <mergeCell ref="D85:J85"/>
    <mergeCell ref="D86:J86"/>
    <mergeCell ref="D87:J87"/>
    <mergeCell ref="D95:J95"/>
    <mergeCell ref="D97:J97"/>
    <mergeCell ref="D98:J98"/>
    <mergeCell ref="D100:J100"/>
    <mergeCell ref="D101:J101"/>
    <mergeCell ref="D102:J102"/>
    <mergeCell ref="D103:J103"/>
    <mergeCell ref="D88:J88"/>
    <mergeCell ref="D89:J89"/>
    <mergeCell ref="D90:J90"/>
    <mergeCell ref="D91:J91"/>
    <mergeCell ref="D92:J92"/>
    <mergeCell ref="D93:J93"/>
    <mergeCell ref="D94:J94"/>
  </mergeCells>
  <hyperlinks>
    <hyperlink r:id="rId1" ref="D89"/>
    <hyperlink r:id="rId2" ref="D98"/>
  </hyperlinks>
  <printOptions/>
  <pageMargins bottom="0.75" footer="0.0" header="0.0" left="0.7" right="0.7" top="0.75"/>
  <pageSetup orientation="landscape"/>
  <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 customWidth="1" min="2" max="8" width="12.0"/>
  </cols>
  <sheetData>
    <row r="1">
      <c r="A1" s="167" t="s">
        <v>1371</v>
      </c>
    </row>
    <row r="2">
      <c r="A2" s="89" t="s">
        <v>1372</v>
      </c>
    </row>
    <row r="4">
      <c r="A4" s="89" t="s">
        <v>1373</v>
      </c>
      <c r="B4" s="49">
        <f>Valuation!B29</f>
        <v>0.09383060741</v>
      </c>
    </row>
    <row r="5">
      <c r="A5" s="89" t="s">
        <v>1374</v>
      </c>
      <c r="B5" s="158">
        <f>Transition!B8</f>
        <v>0.08968970499</v>
      </c>
    </row>
    <row r="6">
      <c r="A6" s="89" t="s">
        <v>1375</v>
      </c>
      <c r="B6" s="50">
        <f>Transition!B9</f>
        <v>950091.0513</v>
      </c>
    </row>
    <row r="7">
      <c r="A7" s="89" t="s">
        <v>1376</v>
      </c>
      <c r="B7" s="158">
        <f>Transition!B55</f>
        <v>0.4304487575</v>
      </c>
    </row>
    <row r="8">
      <c r="A8" s="89" t="s">
        <v>665</v>
      </c>
      <c r="B8" s="165">
        <f>Transition!B59</f>
        <v>222428.3146</v>
      </c>
    </row>
    <row r="9">
      <c r="A9" s="89" t="s">
        <v>666</v>
      </c>
      <c r="B9" s="165">
        <f>Transition!B60</f>
        <v>77297.47213</v>
      </c>
    </row>
    <row r="10">
      <c r="A10" s="89" t="s">
        <v>230</v>
      </c>
      <c r="B10" s="247">
        <f>Assumptions!B192</f>
        <v>1</v>
      </c>
    </row>
    <row r="11">
      <c r="A11" s="89" t="s">
        <v>67</v>
      </c>
      <c r="B11" s="248">
        <f>Valuation!B49</f>
        <v>307266.4721</v>
      </c>
    </row>
    <row r="12">
      <c r="A12" s="89" t="s">
        <v>68</v>
      </c>
      <c r="B12" s="248">
        <f>Valuation!B50</f>
        <v>141236.325</v>
      </c>
    </row>
    <row r="13">
      <c r="A13" s="89" t="s">
        <v>7</v>
      </c>
      <c r="B13" s="50">
        <f>Valuation!B7</f>
        <v>3916000</v>
      </c>
    </row>
    <row r="15">
      <c r="A15" s="161" t="s">
        <v>1377</v>
      </c>
      <c r="B15" s="168"/>
      <c r="C15" s="168"/>
      <c r="D15" s="168"/>
      <c r="E15" s="168"/>
      <c r="F15" s="168"/>
    </row>
    <row r="16">
      <c r="A16" s="161" t="s">
        <v>1378</v>
      </c>
      <c r="B16" s="249">
        <f>$B$4-0.02</f>
        <v>0.07383060741</v>
      </c>
      <c r="C16" s="249">
        <f>$B$4-0.01</f>
        <v>0.08383060741</v>
      </c>
      <c r="D16" s="249">
        <f>$B$4</f>
        <v>0.09383060741</v>
      </c>
      <c r="E16" s="249">
        <f>$B$4+0.01</f>
        <v>0.1038306074</v>
      </c>
      <c r="F16" s="249">
        <f>$B$4+0.02</f>
        <v>0.1138306074</v>
      </c>
    </row>
    <row r="17">
      <c r="A17" s="250">
        <v>0.02</v>
      </c>
      <c r="B17" s="251">
        <f t="shared" ref="B17:F17" si="1">(SUMPRODUCT($B$37:$G$37/(1+B$16)^$B$38:$G$38)+SUMPRODUCT($C$60:$G$60/(1+B$16)^$C$36:$G$36)+$G$63*(1-$A17/MAX(B$16,$G$64))/(B$16-$A17)/(1+B$16)^$G$36+$B$11-$B$12)/1000000</f>
        <v>3.502930813</v>
      </c>
      <c r="C17" s="251">
        <f t="shared" si="1"/>
        <v>2.89697761</v>
      </c>
      <c r="D17" s="251">
        <f t="shared" si="1"/>
        <v>2.458602492</v>
      </c>
      <c r="E17" s="251">
        <f t="shared" si="1"/>
        <v>2.127652012</v>
      </c>
      <c r="F17" s="251">
        <f t="shared" si="1"/>
        <v>1.869627464</v>
      </c>
    </row>
    <row r="18">
      <c r="A18" s="250">
        <v>0.025</v>
      </c>
      <c r="B18" s="251">
        <f t="shared" ref="B18:F18" si="2">(SUMPRODUCT($B$37:$G$37/(1+B$16)^$B$38:$G$38)+SUMPRODUCT($C$92:$G$92/(1+B$16)^$C$36:$G$36)+$G$95*(1-$A18/MAX(B$16,$G$96))/(B$16-$A18)/(1+B$16)^$G$36+$B$11-$B$12)/1000000</f>
        <v>3.732224906</v>
      </c>
      <c r="C18" s="251">
        <f t="shared" si="2"/>
        <v>3.040471235</v>
      </c>
      <c r="D18" s="251">
        <f t="shared" si="2"/>
        <v>2.553151232</v>
      </c>
      <c r="E18" s="251">
        <f t="shared" si="2"/>
        <v>2.19228604</v>
      </c>
      <c r="F18" s="251">
        <f t="shared" si="2"/>
        <v>1.915021111</v>
      </c>
    </row>
    <row r="19">
      <c r="A19" s="250">
        <v>0.03</v>
      </c>
      <c r="B19" s="251">
        <f t="shared" ref="B19:F19" si="3">(SUMPRODUCT($B$37:$G$37/(1+B$16)^$B$38:$G$38)+SUMPRODUCT($C$124:$G$124/(1+B$16)^$C$36:$G$36)+$G$127*(1-$A19/MAX(B$16,$G$128))/(B$16-$A19)/(1+B$16)^$G$36+$B$11-$B$12)/1000000</f>
        <v>4.012883836</v>
      </c>
      <c r="C19" s="251">
        <f t="shared" si="3"/>
        <v>3.209903962</v>
      </c>
      <c r="D19" s="252">
        <f t="shared" si="3"/>
        <v>2.661948477</v>
      </c>
      <c r="E19" s="251">
        <f t="shared" si="3"/>
        <v>2.265218268</v>
      </c>
      <c r="F19" s="251">
        <f t="shared" si="3"/>
        <v>1.9654524</v>
      </c>
    </row>
    <row r="20">
      <c r="A20" s="250">
        <v>0.035</v>
      </c>
      <c r="B20" s="251">
        <f t="shared" ref="B20:F20" si="4">(SUMPRODUCT($B$37:$G$37/(1+B$16)^$B$38:$G$38)+SUMPRODUCT($C$156:$G$156/(1+B$16)^$C$36:$G$36)+$G$159*(1-$A20/MAX(B$16,$G$160))/(B$16-$A20)/(1+B$16)^$G$36+$B$11-$B$12)/1000000</f>
        <v>4.364760371</v>
      </c>
      <c r="C20" s="251">
        <f t="shared" si="4"/>
        <v>3.4132674</v>
      </c>
      <c r="D20" s="251">
        <f t="shared" si="4"/>
        <v>2.788658958</v>
      </c>
      <c r="E20" s="251">
        <f t="shared" si="4"/>
        <v>2.348294595</v>
      </c>
      <c r="F20" s="251">
        <f t="shared" si="4"/>
        <v>2.021921433</v>
      </c>
    </row>
    <row r="21">
      <c r="A21" s="250">
        <v>0.04</v>
      </c>
      <c r="B21" s="251">
        <f t="shared" ref="B21:F21" si="5">(SUMPRODUCT($B$37:$G$37/(1+B$16)^$B$38:$G$38)+SUMPRODUCT($C$188:$G$188/(1+B$16)^$C$36:$G$36)+$G$191*(1-$A21/MAX(B$16,$G$192))/(B$16-$A21)/(1+B$16)^$G$36+$B$11-$B$12)/1000000</f>
        <v>4.819376283</v>
      </c>
      <c r="C21" s="251">
        <f t="shared" si="5"/>
        <v>3.66213469</v>
      </c>
      <c r="D21" s="251">
        <f t="shared" si="5"/>
        <v>2.938245307</v>
      </c>
      <c r="E21" s="251">
        <f t="shared" si="5"/>
        <v>2.443876528</v>
      </c>
      <c r="F21" s="251">
        <f t="shared" si="5"/>
        <v>2.085637207</v>
      </c>
    </row>
    <row r="23">
      <c r="A23" s="161" t="s">
        <v>1379</v>
      </c>
      <c r="B23" s="168"/>
      <c r="C23" s="168"/>
      <c r="D23" s="168"/>
      <c r="E23" s="168"/>
      <c r="F23" s="168"/>
    </row>
    <row r="24">
      <c r="A24" s="161" t="s">
        <v>1378</v>
      </c>
      <c r="B24" s="249">
        <f t="shared" ref="B24:F24" si="6">B16</f>
        <v>0.07383060741</v>
      </c>
      <c r="C24" s="249">
        <f t="shared" si="6"/>
        <v>0.08383060741</v>
      </c>
      <c r="D24" s="249">
        <f t="shared" si="6"/>
        <v>0.09383060741</v>
      </c>
      <c r="E24" s="249">
        <f t="shared" si="6"/>
        <v>0.1038306074</v>
      </c>
      <c r="F24" s="249">
        <f t="shared" si="6"/>
        <v>0.1138306074</v>
      </c>
    </row>
    <row r="25">
      <c r="A25" s="253">
        <f t="shared" ref="A25:A29" si="8">A17</f>
        <v>0.02</v>
      </c>
      <c r="B25" s="254">
        <f t="shared" ref="B25:F25" si="7">B17*1000000/$B$13-1</f>
        <v>-0.1054824277</v>
      </c>
      <c r="C25" s="254">
        <f t="shared" si="7"/>
        <v>-0.2602202222</v>
      </c>
      <c r="D25" s="254">
        <f t="shared" si="7"/>
        <v>-0.3721648385</v>
      </c>
      <c r="E25" s="254">
        <f t="shared" si="7"/>
        <v>-0.4566772186</v>
      </c>
      <c r="F25" s="254">
        <f t="shared" si="7"/>
        <v>-0.5225670419</v>
      </c>
    </row>
    <row r="26">
      <c r="A26" s="253">
        <f t="shared" si="8"/>
        <v>0.025</v>
      </c>
      <c r="B26" s="254">
        <f t="shared" ref="B26:F26" si="9">B18*1000000/$B$13-1</f>
        <v>-0.04692928867</v>
      </c>
      <c r="C26" s="254">
        <f t="shared" si="9"/>
        <v>-0.223577315</v>
      </c>
      <c r="D26" s="254">
        <f t="shared" si="9"/>
        <v>-0.3480206252</v>
      </c>
      <c r="E26" s="254">
        <f t="shared" si="9"/>
        <v>-0.4401721042</v>
      </c>
      <c r="F26" s="254">
        <f t="shared" si="9"/>
        <v>-0.5109752016</v>
      </c>
    </row>
    <row r="27">
      <c r="A27" s="253">
        <f t="shared" si="8"/>
        <v>0.03</v>
      </c>
      <c r="B27" s="254">
        <f t="shared" ref="B27:F27" si="10">B19*1000000/$B$13-1</f>
        <v>0.02474050958</v>
      </c>
      <c r="C27" s="254">
        <f t="shared" si="10"/>
        <v>-0.1803105305</v>
      </c>
      <c r="D27" s="255">
        <f t="shared" si="10"/>
        <v>-0.3202378763</v>
      </c>
      <c r="E27" s="254">
        <f t="shared" si="10"/>
        <v>-0.4215479398</v>
      </c>
      <c r="F27" s="254">
        <f t="shared" si="10"/>
        <v>-0.4980969358</v>
      </c>
    </row>
    <row r="28">
      <c r="A28" s="253">
        <f t="shared" si="8"/>
        <v>0.035</v>
      </c>
      <c r="B28" s="254">
        <f t="shared" ref="B28:F28" si="11">B20*1000000/$B$13-1</f>
        <v>0.1145966219</v>
      </c>
      <c r="C28" s="254">
        <f t="shared" si="11"/>
        <v>-0.1283791114</v>
      </c>
      <c r="D28" s="254">
        <f t="shared" si="11"/>
        <v>-0.2878807564</v>
      </c>
      <c r="E28" s="254">
        <f t="shared" si="11"/>
        <v>-0.4003333517</v>
      </c>
      <c r="F28" s="254">
        <f t="shared" si="11"/>
        <v>-0.4836768558</v>
      </c>
    </row>
    <row r="29">
      <c r="A29" s="253">
        <f t="shared" si="8"/>
        <v>0.04</v>
      </c>
      <c r="B29" s="254">
        <f t="shared" ref="B29:F29" si="12">B21*1000000/$B$13-1</f>
        <v>0.2306885299</v>
      </c>
      <c r="C29" s="254">
        <f t="shared" si="12"/>
        <v>-0.06482770938</v>
      </c>
      <c r="D29" s="254">
        <f t="shared" si="12"/>
        <v>-0.2496819951</v>
      </c>
      <c r="E29" s="254">
        <f t="shared" si="12"/>
        <v>-0.3759252992</v>
      </c>
      <c r="F29" s="254">
        <f t="shared" si="12"/>
        <v>-0.4674062291</v>
      </c>
    </row>
    <row r="31">
      <c r="A31" s="89" t="s">
        <v>1380</v>
      </c>
      <c r="B31" s="248">
        <f>D19*1000000-(Valuation!B48+Valuation!B49-Valuation!B50)</f>
        <v>0</v>
      </c>
    </row>
    <row r="32">
      <c r="A32" s="89" t="s">
        <v>1381</v>
      </c>
      <c r="B32" s="239">
        <f>COUNTIF(B25:F29,"&gt;=0")</f>
        <v>3</v>
      </c>
    </row>
    <row r="34">
      <c r="A34" s="89" t="s">
        <v>623</v>
      </c>
      <c r="B34" s="256"/>
      <c r="C34" s="256">
        <f>Transition!C7</f>
        <v>0.2</v>
      </c>
      <c r="D34" s="256">
        <f>Transition!D7</f>
        <v>0.4</v>
      </c>
      <c r="E34" s="256">
        <f>Transition!E7</f>
        <v>0.6</v>
      </c>
      <c r="F34" s="256">
        <f>Transition!F7</f>
        <v>0.8</v>
      </c>
      <c r="G34" s="256">
        <f>Transition!G7</f>
        <v>1</v>
      </c>
      <c r="H34" s="256"/>
    </row>
    <row r="35">
      <c r="A35" s="89" t="s">
        <v>628</v>
      </c>
      <c r="B35" s="256"/>
      <c r="C35" s="256">
        <f>Transition!C12</f>
        <v>0.186</v>
      </c>
      <c r="D35" s="256">
        <f>Transition!D12</f>
        <v>0.192</v>
      </c>
      <c r="E35" s="256">
        <f>Transition!E12</f>
        <v>0.198</v>
      </c>
      <c r="F35" s="256">
        <f>Transition!F12</f>
        <v>0.204</v>
      </c>
      <c r="G35" s="256">
        <f>Transition!G12</f>
        <v>0.21</v>
      </c>
      <c r="H35" s="256">
        <f>Transition!H12</f>
        <v>0.21</v>
      </c>
    </row>
    <row r="36">
      <c r="A36" s="89" t="s">
        <v>1382</v>
      </c>
      <c r="B36" s="256"/>
      <c r="C36" s="256">
        <f>Transition!C19</f>
        <v>5.689041096</v>
      </c>
      <c r="D36" s="256">
        <f>Transition!D19</f>
        <v>6.689041096</v>
      </c>
      <c r="E36" s="256">
        <f>Transition!E19</f>
        <v>7.689041096</v>
      </c>
      <c r="F36" s="256">
        <f>Transition!F19</f>
        <v>8.689041096</v>
      </c>
      <c r="G36" s="256">
        <f>Transition!G19</f>
        <v>9.691780822</v>
      </c>
      <c r="H36" s="256"/>
    </row>
    <row r="37">
      <c r="A37" s="89" t="s">
        <v>1383</v>
      </c>
      <c r="B37" s="256">
        <f>Valuation!B38</f>
        <v>-10201.90241</v>
      </c>
      <c r="C37" s="256">
        <f>Valuation!C38</f>
        <v>713.3955457</v>
      </c>
      <c r="D37" s="256">
        <f>Valuation!D38</f>
        <v>45919.55455</v>
      </c>
      <c r="E37" s="256">
        <f>Valuation!E38</f>
        <v>72623.18612</v>
      </c>
      <c r="F37" s="256">
        <f>Valuation!F38</f>
        <v>109739.8093</v>
      </c>
      <c r="G37" s="256">
        <f>Valuation!G38</f>
        <v>145130.8425</v>
      </c>
      <c r="H37" s="256"/>
    </row>
    <row r="38">
      <c r="A38" s="89" t="s">
        <v>1384</v>
      </c>
      <c r="B38" s="256">
        <f>Valuation!B35</f>
        <v>0.09178082192</v>
      </c>
      <c r="C38" s="256">
        <f>Valuation!C35</f>
        <v>0.6835616438</v>
      </c>
      <c r="D38" s="256">
        <f>Valuation!D35</f>
        <v>1.68630137</v>
      </c>
      <c r="E38" s="256">
        <f>Valuation!E35</f>
        <v>2.68630137</v>
      </c>
      <c r="F38" s="256">
        <f>Valuation!F35</f>
        <v>3.68630137</v>
      </c>
      <c r="G38" s="256">
        <f>Valuation!G35</f>
        <v>4.68630137</v>
      </c>
      <c r="H38" s="256"/>
    </row>
    <row r="39">
      <c r="B39" s="257">
        <v>2031.0</v>
      </c>
      <c r="C39" s="257">
        <v>2032.0</v>
      </c>
      <c r="D39" s="257">
        <v>2033.0</v>
      </c>
      <c r="E39" s="257">
        <v>2034.0</v>
      </c>
      <c r="F39" s="257">
        <v>2035.0</v>
      </c>
      <c r="G39" s="257">
        <v>2036.0</v>
      </c>
      <c r="H39" s="257" t="s">
        <v>622</v>
      </c>
    </row>
    <row r="40">
      <c r="A40" s="258" t="s">
        <v>1385</v>
      </c>
      <c r="B40" s="258">
        <f>$A17</f>
        <v>0.02</v>
      </c>
      <c r="C40" s="258"/>
      <c r="D40" s="258"/>
      <c r="E40" s="258"/>
      <c r="F40" s="258"/>
      <c r="G40" s="258"/>
      <c r="H40" s="258"/>
    </row>
    <row r="41">
      <c r="A41" s="258" t="s">
        <v>1386</v>
      </c>
      <c r="B41" s="258"/>
      <c r="C41" s="258">
        <v>2032.0</v>
      </c>
      <c r="D41" s="258">
        <v>2033.0</v>
      </c>
      <c r="E41" s="258">
        <v>2034.0</v>
      </c>
      <c r="F41" s="258">
        <v>2035.0</v>
      </c>
      <c r="G41" s="258">
        <v>2036.0</v>
      </c>
      <c r="H41" s="258"/>
    </row>
    <row r="42">
      <c r="A42" s="258" t="s">
        <v>624</v>
      </c>
      <c r="B42" s="258"/>
      <c r="C42" s="258">
        <f>Transition!$B$8+($B$40-Transition!$B$8)*C44</f>
        <v>0.07575176399</v>
      </c>
      <c r="D42" s="258">
        <f>Transition!$B$8+($B$40-Transition!$B$8)*D44</f>
        <v>0.06181382299</v>
      </c>
      <c r="E42" s="258">
        <f>Transition!$B$8+($B$40-Transition!$B$8)*E44</f>
        <v>0.047875882</v>
      </c>
      <c r="F42" s="258">
        <f>Transition!$B$8+($B$40-Transition!$B$8)*F44</f>
        <v>0.033937941</v>
      </c>
      <c r="G42" s="258">
        <f>Transition!$B$8+($B$40-Transition!$B$8)*G44</f>
        <v>0.02</v>
      </c>
      <c r="H42" s="258"/>
    </row>
    <row r="43">
      <c r="A43" s="258" t="s">
        <v>625</v>
      </c>
      <c r="B43" s="258">
        <f>Transition!B9</f>
        <v>950091.0513</v>
      </c>
      <c r="C43" s="258">
        <f t="shared" ref="C43:G43" si="13">B43*(1+C42)</f>
        <v>1022062.124</v>
      </c>
      <c r="D43" s="258">
        <f t="shared" si="13"/>
        <v>1085239.692</v>
      </c>
      <c r="E43" s="258">
        <f t="shared" si="13"/>
        <v>1137196.499</v>
      </c>
      <c r="F43" s="258">
        <f t="shared" si="13"/>
        <v>1175790.607</v>
      </c>
      <c r="G43" s="258">
        <f t="shared" si="13"/>
        <v>1199306.419</v>
      </c>
      <c r="H43" s="258"/>
    </row>
    <row r="44">
      <c r="A44" s="258" t="s">
        <v>1387</v>
      </c>
      <c r="B44" s="258"/>
      <c r="C44" s="258">
        <v>0.2</v>
      </c>
      <c r="D44" s="258">
        <v>0.4</v>
      </c>
      <c r="E44" s="258">
        <v>0.6</v>
      </c>
      <c r="F44" s="258">
        <v>0.8</v>
      </c>
      <c r="G44" s="258">
        <v>1.0</v>
      </c>
      <c r="H44" s="258"/>
    </row>
    <row r="45">
      <c r="A45" s="258" t="s">
        <v>930</v>
      </c>
      <c r="B45" s="258"/>
      <c r="C45" s="258">
        <f>Transition!$B$12+(Assumptions!$B$149-Transition!$B$12)*C44</f>
        <v>0.186</v>
      </c>
      <c r="D45" s="258">
        <f>Transition!$B$12+(Assumptions!$B$149-Transition!$B$12)*D44</f>
        <v>0.192</v>
      </c>
      <c r="E45" s="258">
        <f>Transition!$B$12+(Assumptions!$B$149-Transition!$B$12)*E44</f>
        <v>0.198</v>
      </c>
      <c r="F45" s="258">
        <f>Transition!$B$12+(Assumptions!$B$149-Transition!$B$12)*F44</f>
        <v>0.204</v>
      </c>
      <c r="G45" s="258">
        <f>Transition!$B$12+(Assumptions!$B$149-Transition!$B$12)*G44</f>
        <v>0.21</v>
      </c>
      <c r="H45" s="258"/>
    </row>
    <row r="46">
      <c r="A46" s="258" t="s">
        <v>1388</v>
      </c>
      <c r="B46" s="258"/>
      <c r="C46" s="258">
        <f>C43*(Transition!$B$50+(Transition!$B$48*Assumptions!$B$192-Transition!$B$50)*C44)</f>
        <v>792904.6876</v>
      </c>
      <c r="D46" s="258">
        <f>D43*(Transition!$B$50+(Transition!$B$48*Assumptions!$B$192-Transition!$B$50)*D44)</f>
        <v>839692.4345</v>
      </c>
      <c r="E46" s="258">
        <f>E43*(Transition!$B$50+(Transition!$B$48*Assumptions!$B$192-Transition!$B$50)*E44)</f>
        <v>877562.2167</v>
      </c>
      <c r="F46" s="258">
        <f>F43*(Transition!$B$50+(Transition!$B$48*Assumptions!$B$192-Transition!$B$50)*F44)</f>
        <v>904934.5204</v>
      </c>
      <c r="G46" s="258">
        <f>G43*(Transition!$B$50+(Transition!$B$48*Assumptions!$B$192-Transition!$B$50)*G44)</f>
        <v>920574.6528</v>
      </c>
      <c r="H46" s="258"/>
    </row>
    <row r="47">
      <c r="A47" s="258" t="s">
        <v>1389</v>
      </c>
      <c r="B47" s="258"/>
      <c r="C47" s="258">
        <f>'Capital and FCFF'!G26</f>
        <v>983971.2555</v>
      </c>
      <c r="D47" s="258">
        <f t="shared" ref="D47:G47" si="14">C55</f>
        <v>1032243.308</v>
      </c>
      <c r="E47" s="258">
        <f t="shared" si="14"/>
        <v>1078055.472</v>
      </c>
      <c r="F47" s="258">
        <f t="shared" si="14"/>
        <v>1110294.858</v>
      </c>
      <c r="G47" s="258">
        <f t="shared" si="14"/>
        <v>1128285.356</v>
      </c>
      <c r="H47" s="258"/>
    </row>
    <row r="48">
      <c r="A48" s="258" t="s">
        <v>1390</v>
      </c>
      <c r="B48" s="258"/>
      <c r="C48" s="258">
        <f>'Capital and FCFF'!G15</f>
        <v>244953.2736</v>
      </c>
      <c r="D48" s="258">
        <f t="shared" ref="D48:G48" si="15">C54</f>
        <v>239338.6203</v>
      </c>
      <c r="E48" s="258">
        <f t="shared" si="15"/>
        <v>238363.0374</v>
      </c>
      <c r="F48" s="258">
        <f t="shared" si="15"/>
        <v>232732.6412</v>
      </c>
      <c r="G48" s="258">
        <f t="shared" si="15"/>
        <v>223350.8358</v>
      </c>
      <c r="H48" s="258"/>
    </row>
    <row r="49">
      <c r="A49" s="258" t="s">
        <v>1391</v>
      </c>
      <c r="B49" s="258"/>
      <c r="C49" s="258">
        <f>SUM('Capital and FCFF'!H21:H22,'Capital and FCFF'!H50:H55,'Capital and FCFF'!H64:H69)</f>
        <v>136900.3661</v>
      </c>
      <c r="D49" s="258">
        <f>SUM('Capital and FCFF'!I21:I22,'Capital and FCFF'!I50:I55,'Capital and FCFF'!I64:I69)+C51*(Assumptions!$G$72/Assumptions!$G$67*MAX(0,MIN(1.5,Assumptions!$G$67)-0.5)+(1-Assumptions!$G$72)/Assumptions!$B$92*MAX(0,MIN(1.5,Assumptions!$B$92)-0.5))</f>
        <v>143221.6457</v>
      </c>
      <c r="E49" s="258">
        <f>SUM('Capital and FCFF'!J21:J22,'Capital and FCFF'!J50:J55,'Capital and FCFF'!J64:J69)+C51*(Assumptions!$G$72/Assumptions!$G$67*MAX(0,MIN(2.5,Assumptions!$G$67)-1.5)+(1-Assumptions!$G$72)/Assumptions!$B$92*MAX(0,MIN(2.5,Assumptions!$B$92)-1.5))+D51*(Assumptions!$G$72/Assumptions!$G$67*MAX(0,MIN(1.5,Assumptions!$G$67)-0.5)+(1-Assumptions!$G$72)/Assumptions!$B$92*MAX(0,MIN(1.5,Assumptions!$B$92)-0.5))</f>
        <v>147651.3803</v>
      </c>
      <c r="F49" s="258">
        <f>SUM('Capital and FCFF'!K21:K22,'Capital and FCFF'!K50:K55,'Capital and FCFF'!K64:K69)+C51*(Assumptions!$G$72/Assumptions!$G$67*MAX(0,MIN(3.5,Assumptions!$G$67)-2.5)+(1-Assumptions!$G$72)/Assumptions!$B$92*MAX(0,MIN(3.5,Assumptions!$B$92)-2.5))+D51*(Assumptions!$G$72/Assumptions!$G$67*MAX(0,MIN(2.5,Assumptions!$G$67)-1.5)+(1-Assumptions!$G$72)/Assumptions!$B$92*MAX(0,MIN(2.5,Assumptions!$B$92)-1.5))+E51*(Assumptions!$G$72/Assumptions!$G$67*MAX(0,MIN(1.5,Assumptions!$G$67)-0.5)+(1-Assumptions!$G$72)/Assumptions!$B$92*MAX(0,MIN(1.5,Assumptions!$B$92)-0.5))</f>
        <v>150670.2196</v>
      </c>
      <c r="G49" s="258">
        <f>SUM('Capital and FCFF'!L21:L22,'Capital and FCFF'!L50:L55,'Capital and FCFF'!L64:L69)+C51*(Assumptions!$G$72/Assumptions!$G$67*MAX(0,MIN(4.5,Assumptions!$G$67)-3.5)+(1-Assumptions!$G$72)/Assumptions!$B$92*MAX(0,MIN(4.5,Assumptions!$B$92)-3.5))+D51*(Assumptions!$G$72/Assumptions!$G$67*MAX(0,MIN(3.5,Assumptions!$G$67)-2.5)+(1-Assumptions!$G$72)/Assumptions!$B$92*MAX(0,MIN(3.5,Assumptions!$B$92)-2.5))+E51*(Assumptions!$G$72/Assumptions!$G$67*MAX(0,MIN(2.5,Assumptions!$G$67)-1.5)+(1-Assumptions!$G$72)/Assumptions!$B$92*MAX(0,MIN(2.5,Assumptions!$B$92)-1.5))+F51*(Assumptions!$G$72/Assumptions!$G$67*MAX(0,MIN(1.5,Assumptions!$G$67)-0.5)+(1-Assumptions!$G$72)/Assumptions!$B$92*MAX(0,MIN(1.5,Assumptions!$B$92)-0.5))</f>
        <v>152319.3261</v>
      </c>
      <c r="H49" s="258"/>
    </row>
    <row r="50">
      <c r="A50" s="258" t="s">
        <v>1392</v>
      </c>
      <c r="B50" s="258"/>
      <c r="C50" s="258">
        <f>'Capital and FCFF'!$H$92</f>
        <v>0.07</v>
      </c>
      <c r="D50" s="258">
        <f>'Capital and FCFF'!$H$92</f>
        <v>0.07</v>
      </c>
      <c r="E50" s="258">
        <f>'Capital and FCFF'!$H$92</f>
        <v>0.07</v>
      </c>
      <c r="F50" s="258">
        <f>'Capital and FCFF'!$H$92</f>
        <v>0.07</v>
      </c>
      <c r="G50" s="258">
        <f>'Capital and FCFF'!$H$92</f>
        <v>0.07</v>
      </c>
      <c r="H50" s="258"/>
    </row>
    <row r="51">
      <c r="A51" s="258" t="s">
        <v>1393</v>
      </c>
      <c r="B51" s="258"/>
      <c r="C51" s="258">
        <f t="shared" ref="C51:G51" si="16">MAX(0,(C46-(C47-C48)+C49)/(1-C50))</f>
        <v>205147.3889</v>
      </c>
      <c r="D51" s="258">
        <f t="shared" si="16"/>
        <v>204311.1749</v>
      </c>
      <c r="E51" s="258">
        <f t="shared" si="16"/>
        <v>199485.121</v>
      </c>
      <c r="F51" s="258">
        <f t="shared" si="16"/>
        <v>191443.5735</v>
      </c>
      <c r="G51" s="258">
        <f t="shared" si="16"/>
        <v>180601.5683</v>
      </c>
      <c r="H51" s="258"/>
    </row>
    <row r="52">
      <c r="A52" s="258" t="s">
        <v>1394</v>
      </c>
      <c r="B52" s="258"/>
      <c r="C52" s="258">
        <f>MAX(0,2*(C51/Assumptions!$G$62-C48),C51*(1/Assumptions!$G$62+0.5)-C48)</f>
        <v>199532.7356</v>
      </c>
      <c r="D52" s="258">
        <f>MAX(0,2*(D51/Assumptions!$G$62-D48),D51*(1/Assumptions!$G$62+0.5)-D48)</f>
        <v>203335.5919</v>
      </c>
      <c r="E52" s="258">
        <f>MAX(0,2*(E51/Assumptions!$G$62-E48),E51*(1/Assumptions!$G$62+0.5)-E48)</f>
        <v>193854.7248</v>
      </c>
      <c r="F52" s="258">
        <f>MAX(0,2*(F51/Assumptions!$G$62-F48),F51*(1/Assumptions!$G$62+0.5)-F48)</f>
        <v>182061.7681</v>
      </c>
      <c r="G52" s="258">
        <f>MAX(0,2*(G51/Assumptions!$G$62-G48),G51*(1/Assumptions!$G$62+0.5)-G48)</f>
        <v>167952.5622</v>
      </c>
      <c r="H52" s="258"/>
    </row>
    <row r="53">
      <c r="A53" s="258" t="s">
        <v>1054</v>
      </c>
      <c r="B53" s="258"/>
      <c r="C53" s="258">
        <f t="shared" ref="C53:G53" si="17">C49+C51*C50</f>
        <v>151260.6833</v>
      </c>
      <c r="D53" s="258">
        <f t="shared" si="17"/>
        <v>157523.428</v>
      </c>
      <c r="E53" s="258">
        <f t="shared" si="17"/>
        <v>161615.3388</v>
      </c>
      <c r="F53" s="258">
        <f t="shared" si="17"/>
        <v>164071.2697</v>
      </c>
      <c r="G53" s="258">
        <f t="shared" si="17"/>
        <v>164961.4359</v>
      </c>
      <c r="H53" s="258"/>
    </row>
    <row r="54">
      <c r="A54" s="258" t="s">
        <v>1395</v>
      </c>
      <c r="B54" s="258"/>
      <c r="C54" s="258">
        <f t="shared" ref="C54:G54" si="18">C48+C52-C51</f>
        <v>239338.6203</v>
      </c>
      <c r="D54" s="258">
        <f t="shared" si="18"/>
        <v>238363.0374</v>
      </c>
      <c r="E54" s="258">
        <f t="shared" si="18"/>
        <v>232732.6412</v>
      </c>
      <c r="F54" s="258">
        <f t="shared" si="18"/>
        <v>223350.8358</v>
      </c>
      <c r="G54" s="258">
        <f t="shared" si="18"/>
        <v>210701.8297</v>
      </c>
      <c r="H54" s="258"/>
    </row>
    <row r="55">
      <c r="A55" s="258" t="s">
        <v>1396</v>
      </c>
      <c r="B55" s="258"/>
      <c r="C55" s="258">
        <f t="shared" ref="C55:G55" si="19">C47+C52-C53</f>
        <v>1032243.308</v>
      </c>
      <c r="D55" s="258">
        <f t="shared" si="19"/>
        <v>1078055.472</v>
      </c>
      <c r="E55" s="258">
        <f t="shared" si="19"/>
        <v>1110294.858</v>
      </c>
      <c r="F55" s="258">
        <f t="shared" si="19"/>
        <v>1128285.356</v>
      </c>
      <c r="G55" s="258">
        <f t="shared" si="19"/>
        <v>1131276.483</v>
      </c>
      <c r="H55" s="258"/>
    </row>
    <row r="56">
      <c r="A56" s="258" t="s">
        <v>1397</v>
      </c>
      <c r="B56" s="258"/>
      <c r="C56" s="258">
        <f>C43*'Capital and FCFF'!$G$35/Transition!$B$9</f>
        <v>63916.07153</v>
      </c>
      <c r="D56" s="258">
        <f>D43*'Capital and FCFF'!$G$35/Transition!$B$9</f>
        <v>67866.96826</v>
      </c>
      <c r="E56" s="258">
        <f>E43*'Capital and FCFF'!$G$35/Transition!$B$9</f>
        <v>71116.15922</v>
      </c>
      <c r="F56" s="258">
        <f>F43*'Capital and FCFF'!$G$35/Transition!$B$9</f>
        <v>73529.69524</v>
      </c>
      <c r="G56" s="258">
        <f>G43*'Capital and FCFF'!$G$35/Transition!$B$9</f>
        <v>75000.28914</v>
      </c>
      <c r="H56" s="258"/>
    </row>
    <row r="57">
      <c r="A57" s="258" t="s">
        <v>1398</v>
      </c>
      <c r="B57" s="258"/>
      <c r="C57" s="258">
        <f>C56-'Capital and FCFF'!$G$35</f>
        <v>4500.810808</v>
      </c>
      <c r="D57" s="258">
        <f t="shared" ref="D57:G57" si="20">D56-C56</f>
        <v>3950.896732</v>
      </c>
      <c r="E57" s="258">
        <f t="shared" si="20"/>
        <v>3249.190964</v>
      </c>
      <c r="F57" s="258">
        <f t="shared" si="20"/>
        <v>2413.536016</v>
      </c>
      <c r="G57" s="258">
        <f t="shared" si="20"/>
        <v>1470.593905</v>
      </c>
      <c r="H57" s="258"/>
    </row>
    <row r="58">
      <c r="A58" s="258" t="s">
        <v>1399</v>
      </c>
      <c r="B58" s="258"/>
      <c r="C58" s="258">
        <f>Transition!$B$55-C53/C43+IF(ISNUMBER(Assumptions!$B$148),(Assumptions!$B$148-(Transition!$B$55-$G$53/$G$43))*C44,0)</f>
        <v>0.2824531712</v>
      </c>
      <c r="D58" s="258">
        <f>Transition!$B$55-D53/D43+IF(ISNUMBER(Assumptions!$B$148),(Assumptions!$B$148-(Transition!$B$55-$G$53/$G$43))*D44,0)</f>
        <v>0.2852979404</v>
      </c>
      <c r="E58" s="258">
        <f>Transition!$B$55-E53/E43+IF(ISNUMBER(Assumptions!$B$148),(Assumptions!$B$148-(Transition!$B$55-$G$53/$G$43))*E44,0)</f>
        <v>0.2883314199</v>
      </c>
      <c r="F58" s="258">
        <f>Transition!$B$55-F53/F43+IF(ISNUMBER(Assumptions!$B$148),(Assumptions!$B$148-(Transition!$B$55-$G$53/$G$43))*F44,0)</f>
        <v>0.2909075256</v>
      </c>
      <c r="G58" s="258">
        <f>Transition!$B$55-G53/G43+IF(ISNUMBER(Assumptions!$B$148),(Assumptions!$B$148-(Transition!$B$55-$G$53/$G$43))*G44,0)</f>
        <v>0.292901394</v>
      </c>
      <c r="H58" s="258"/>
    </row>
    <row r="59">
      <c r="A59" s="258" t="s">
        <v>375</v>
      </c>
      <c r="B59" s="258"/>
      <c r="C59" s="258">
        <f>C43*C58-'Capital and FCFF'!H25-MAX(0,C43*C58-'Capital and FCFF'!H25*Assumptions!$B$239)*C45</f>
        <v>234490.3362</v>
      </c>
      <c r="D59" s="258">
        <f>D43*D58-'Capital and FCFF'!I25-MAX(0,D43*D58-'Capital and FCFF'!I25*Assumptions!$B$239)*D45</f>
        <v>249671.2523</v>
      </c>
      <c r="E59" s="258">
        <f>E43*E58-'Capital and FCFF'!J25-MAX(0,E43*E58-'Capital and FCFF'!J25*Assumptions!$B$239)*E45</f>
        <v>262468.364</v>
      </c>
      <c r="F59" s="258">
        <f>F43*F58-'Capital and FCFF'!K25-MAX(0,F43*F58-'Capital and FCFF'!K25*Assumptions!$B$239)*F45</f>
        <v>271769.8835</v>
      </c>
      <c r="G59" s="258">
        <f>G43*G58-'Capital and FCFF'!L25-MAX(0,G43*G58-'Capital and FCFF'!L25*Assumptions!$B$239)*G45</f>
        <v>277011.0324</v>
      </c>
      <c r="H59" s="258"/>
    </row>
    <row r="60">
      <c r="A60" s="258" t="s">
        <v>630</v>
      </c>
      <c r="B60" s="258"/>
      <c r="C60" s="258">
        <f>C59+C53+'Capital and FCFF'!H25-C52-C57</f>
        <v>182216.4731</v>
      </c>
      <c r="D60" s="258">
        <f>D59+D53+'Capital and FCFF'!I25-D52-D57</f>
        <v>200407.1916</v>
      </c>
      <c r="E60" s="258">
        <f>E59+E53+'Capital and FCFF'!J25-E52-E57</f>
        <v>227478.787</v>
      </c>
      <c r="F60" s="258">
        <f>F59+F53+'Capital and FCFF'!K25-F52-F57</f>
        <v>251864.8491</v>
      </c>
      <c r="G60" s="258">
        <f>G59+G53+'Capital and FCFF'!L25-G52-G57</f>
        <v>273048.3121</v>
      </c>
      <c r="H60" s="258"/>
    </row>
    <row r="61">
      <c r="A61" s="258" t="s">
        <v>1333</v>
      </c>
      <c r="B61" s="258"/>
      <c r="C61" s="258">
        <f t="shared" ref="C61:G61" si="21">(C47+C55+2*C56-C57)/2</f>
        <v>1069772.948</v>
      </c>
      <c r="D61" s="258">
        <f t="shared" si="21"/>
        <v>1121040.91</v>
      </c>
      <c r="E61" s="258">
        <f t="shared" si="21"/>
        <v>1163666.729</v>
      </c>
      <c r="F61" s="258">
        <f t="shared" si="21"/>
        <v>1191613.034</v>
      </c>
      <c r="G61" s="258">
        <f t="shared" si="21"/>
        <v>1204045.912</v>
      </c>
      <c r="H61" s="258"/>
    </row>
    <row r="62">
      <c r="A62" s="258" t="s">
        <v>1090</v>
      </c>
      <c r="B62" s="258"/>
      <c r="C62" s="258">
        <f t="shared" ref="C62:G62" si="22">C59/C61</f>
        <v>0.21919636</v>
      </c>
      <c r="D62" s="258">
        <f t="shared" si="22"/>
        <v>0.2227137744</v>
      </c>
      <c r="E62" s="258">
        <f t="shared" si="22"/>
        <v>0.2255528645</v>
      </c>
      <c r="F62" s="258">
        <f t="shared" si="22"/>
        <v>0.228068908</v>
      </c>
      <c r="G62" s="258">
        <f t="shared" si="22"/>
        <v>0.2300668353</v>
      </c>
      <c r="H62" s="258"/>
    </row>
    <row r="63">
      <c r="A63" s="258" t="s">
        <v>1400</v>
      </c>
      <c r="B63" s="258"/>
      <c r="C63" s="258"/>
      <c r="D63" s="258"/>
      <c r="E63" s="258"/>
      <c r="F63" s="258"/>
      <c r="G63" s="258">
        <f>G43*G58*(1-G45)*(1+$B$40)</f>
        <v>283060.233</v>
      </c>
      <c r="H63" s="258"/>
    </row>
    <row r="64">
      <c r="A64" s="258" t="s">
        <v>1401</v>
      </c>
      <c r="B64" s="258"/>
      <c r="C64" s="258"/>
      <c r="D64" s="258"/>
      <c r="E64" s="258"/>
      <c r="F64" s="258"/>
      <c r="G64" s="258">
        <f>G43*G58*(1-G45)/(G55+G56)</f>
        <v>0.2300550246</v>
      </c>
      <c r="H64" s="258"/>
    </row>
    <row r="65">
      <c r="A65" s="258"/>
      <c r="B65" s="258"/>
      <c r="C65" s="258"/>
      <c r="D65" s="258"/>
      <c r="E65" s="258"/>
      <c r="F65" s="258"/>
      <c r="G65" s="258"/>
      <c r="H65" s="258"/>
    </row>
    <row r="66">
      <c r="A66" s="258"/>
      <c r="B66" s="258"/>
      <c r="C66" s="258"/>
      <c r="D66" s="258"/>
      <c r="E66" s="258"/>
      <c r="F66" s="258"/>
      <c r="G66" s="258"/>
      <c r="H66" s="258"/>
    </row>
    <row r="67">
      <c r="A67" s="258"/>
      <c r="B67" s="258"/>
      <c r="C67" s="258"/>
      <c r="D67" s="258"/>
      <c r="E67" s="258"/>
      <c r="F67" s="258"/>
      <c r="G67" s="258"/>
      <c r="H67" s="258"/>
    </row>
    <row r="68">
      <c r="A68" s="258"/>
      <c r="B68" s="258"/>
      <c r="C68" s="258"/>
      <c r="D68" s="258"/>
      <c r="E68" s="258"/>
      <c r="F68" s="258"/>
      <c r="G68" s="258"/>
      <c r="H68" s="258"/>
    </row>
    <row r="69">
      <c r="A69" s="258"/>
      <c r="B69" s="258"/>
      <c r="C69" s="258"/>
      <c r="D69" s="258"/>
      <c r="E69" s="258"/>
      <c r="F69" s="258"/>
      <c r="G69" s="258"/>
      <c r="H69" s="258"/>
    </row>
    <row r="70">
      <c r="A70" s="258"/>
      <c r="B70" s="258"/>
      <c r="C70" s="258"/>
      <c r="D70" s="258"/>
      <c r="E70" s="258"/>
      <c r="F70" s="258"/>
      <c r="G70" s="258"/>
      <c r="H70" s="258"/>
    </row>
    <row r="71">
      <c r="A71" s="258"/>
      <c r="B71" s="258"/>
      <c r="C71" s="258"/>
      <c r="D71" s="258"/>
      <c r="E71" s="258"/>
      <c r="F71" s="258"/>
      <c r="G71" s="258"/>
      <c r="H71" s="258"/>
    </row>
    <row r="72">
      <c r="A72" s="258" t="s">
        <v>1402</v>
      </c>
      <c r="B72" s="258">
        <f>$A18</f>
        <v>0.025</v>
      </c>
      <c r="C72" s="258"/>
      <c r="D72" s="258"/>
      <c r="E72" s="258"/>
      <c r="F72" s="258"/>
      <c r="G72" s="258"/>
      <c r="H72" s="258"/>
    </row>
    <row r="73">
      <c r="A73" s="258" t="s">
        <v>1386</v>
      </c>
      <c r="B73" s="258"/>
      <c r="C73" s="258">
        <v>2032.0</v>
      </c>
      <c r="D73" s="258">
        <v>2033.0</v>
      </c>
      <c r="E73" s="258">
        <v>2034.0</v>
      </c>
      <c r="F73" s="258">
        <v>2035.0</v>
      </c>
      <c r="G73" s="258">
        <v>2036.0</v>
      </c>
      <c r="H73" s="258"/>
    </row>
    <row r="74">
      <c r="A74" s="258" t="s">
        <v>624</v>
      </c>
      <c r="B74" s="258"/>
      <c r="C74" s="258">
        <f>Transition!$B$8+($B$72-Transition!$B$8)*C76</f>
        <v>0.07675176399</v>
      </c>
      <c r="D74" s="258">
        <f>Transition!$B$8+($B$72-Transition!$B$8)*D76</f>
        <v>0.06381382299</v>
      </c>
      <c r="E74" s="258">
        <f>Transition!$B$8+($B$72-Transition!$B$8)*E76</f>
        <v>0.050875882</v>
      </c>
      <c r="F74" s="258">
        <f>Transition!$B$8+($B$72-Transition!$B$8)*F76</f>
        <v>0.037937941</v>
      </c>
      <c r="G74" s="258">
        <f>Transition!$B$8+($B$72-Transition!$B$8)*G76</f>
        <v>0.025</v>
      </c>
      <c r="H74" s="258"/>
    </row>
    <row r="75">
      <c r="A75" s="258" t="s">
        <v>625</v>
      </c>
      <c r="B75" s="258">
        <f>Transition!B9</f>
        <v>950091.0513</v>
      </c>
      <c r="C75" s="258">
        <f t="shared" ref="C75:G75" si="23">B75*(1+C74)</f>
        <v>1023012.215</v>
      </c>
      <c r="D75" s="258">
        <f t="shared" si="23"/>
        <v>1088294.536</v>
      </c>
      <c r="E75" s="258">
        <f t="shared" si="23"/>
        <v>1143662.48</v>
      </c>
      <c r="F75" s="258">
        <f t="shared" si="23"/>
        <v>1187050.68</v>
      </c>
      <c r="G75" s="258">
        <f t="shared" si="23"/>
        <v>1216726.947</v>
      </c>
      <c r="H75" s="258"/>
    </row>
    <row r="76">
      <c r="A76" s="258" t="s">
        <v>1387</v>
      </c>
      <c r="B76" s="258"/>
      <c r="C76" s="258">
        <v>0.2</v>
      </c>
      <c r="D76" s="258">
        <v>0.4</v>
      </c>
      <c r="E76" s="258">
        <v>0.6</v>
      </c>
      <c r="F76" s="258">
        <v>0.8</v>
      </c>
      <c r="G76" s="258">
        <v>1.0</v>
      </c>
      <c r="H76" s="258"/>
    </row>
    <row r="77">
      <c r="A77" s="258" t="s">
        <v>930</v>
      </c>
      <c r="B77" s="258"/>
      <c r="C77" s="258">
        <f>Transition!$B$12+(Assumptions!$B$149-Transition!$B$12)*C76</f>
        <v>0.186</v>
      </c>
      <c r="D77" s="258">
        <f>Transition!$B$12+(Assumptions!$B$149-Transition!$B$12)*D76</f>
        <v>0.192</v>
      </c>
      <c r="E77" s="258">
        <f>Transition!$B$12+(Assumptions!$B$149-Transition!$B$12)*E76</f>
        <v>0.198</v>
      </c>
      <c r="F77" s="258">
        <f>Transition!$B$12+(Assumptions!$B$149-Transition!$B$12)*F76</f>
        <v>0.204</v>
      </c>
      <c r="G77" s="258">
        <f>Transition!$B$12+(Assumptions!$B$149-Transition!$B$12)*G76</f>
        <v>0.21</v>
      </c>
      <c r="H77" s="258"/>
    </row>
    <row r="78">
      <c r="A78" s="258" t="s">
        <v>1388</v>
      </c>
      <c r="B78" s="258"/>
      <c r="C78" s="258">
        <f>C75*(Transition!$B$50+(Transition!$B$48*Assumptions!$B$192-Transition!$B$50)*C76)</f>
        <v>793641.7579</v>
      </c>
      <c r="D78" s="258">
        <f>D75*(Transition!$B$50+(Transition!$B$48*Assumptions!$B$192-Transition!$B$50)*D76)</f>
        <v>842056.087</v>
      </c>
      <c r="E78" s="258">
        <f>E75*(Transition!$B$50+(Transition!$B$48*Assumptions!$B$192-Transition!$B$50)*E76)</f>
        <v>882551.9443</v>
      </c>
      <c r="F78" s="258">
        <f>F75*(Transition!$B$50+(Transition!$B$48*Assumptions!$B$192-Transition!$B$50)*F76)</f>
        <v>913600.714</v>
      </c>
      <c r="G78" s="258">
        <f>G75*(Transition!$B$50+(Transition!$B$48*Assumptions!$B$192-Transition!$B$50)*G76)</f>
        <v>933946.462</v>
      </c>
      <c r="H78" s="258"/>
    </row>
    <row r="79">
      <c r="A79" s="258" t="s">
        <v>1389</v>
      </c>
      <c r="B79" s="258"/>
      <c r="C79" s="258">
        <f>'Capital and FCFF'!G26</f>
        <v>983971.2555</v>
      </c>
      <c r="D79" s="258">
        <f t="shared" ref="D79:G79" si="24">C87</f>
        <v>1033905.018</v>
      </c>
      <c r="E79" s="258">
        <f t="shared" si="24"/>
        <v>1082878.318</v>
      </c>
      <c r="F79" s="258">
        <f t="shared" si="24"/>
        <v>1119046.266</v>
      </c>
      <c r="G79" s="258">
        <f t="shared" si="24"/>
        <v>1142597.2</v>
      </c>
      <c r="H79" s="258"/>
    </row>
    <row r="80">
      <c r="A80" s="258" t="s">
        <v>1390</v>
      </c>
      <c r="B80" s="258"/>
      <c r="C80" s="258">
        <f>'Capital and FCFF'!G15</f>
        <v>244953.2736</v>
      </c>
      <c r="D80" s="258">
        <f t="shared" ref="D80:G80" si="25">C86</f>
        <v>240263.2605</v>
      </c>
      <c r="E80" s="258">
        <f t="shared" si="25"/>
        <v>240822.2313</v>
      </c>
      <c r="F80" s="258">
        <f t="shared" si="25"/>
        <v>236494.3219</v>
      </c>
      <c r="G80" s="258">
        <f t="shared" si="25"/>
        <v>228996.4856</v>
      </c>
      <c r="H80" s="258"/>
    </row>
    <row r="81">
      <c r="A81" s="258" t="s">
        <v>1391</v>
      </c>
      <c r="B81" s="258"/>
      <c r="C81" s="258">
        <f>SUM('Capital and FCFF'!H21:H22,'Capital and FCFF'!H50:H55,'Capital and FCFF'!H64:H69)</f>
        <v>136900.3661</v>
      </c>
      <c r="D81" s="258">
        <f>SUM('Capital and FCFF'!I21:I22,'Capital and FCFF'!I50:I55,'Capital and FCFF'!I64:I69)+C83*(Assumptions!$G$72/Assumptions!$G$67*MAX(0,MIN(1.5,Assumptions!$G$67)-0.5)+(1-Assumptions!$G$72)/Assumptions!$B$92*MAX(0,MIN(1.5,Assumptions!$B$92)-0.5))</f>
        <v>143332.6026</v>
      </c>
      <c r="E81" s="258">
        <f>SUM('Capital and FCFF'!J21:J22,'Capital and FCFF'!J50:J55,'Capital and FCFF'!J64:J69)+C83*(Assumptions!$G$72/Assumptions!$G$67*MAX(0,MIN(2.5,Assumptions!$G$67)-1.5)+(1-Assumptions!$G$72)/Assumptions!$B$92*MAX(0,MIN(2.5,Assumptions!$B$92)-1.5))+D83*(Assumptions!$G$72/Assumptions!$G$67*MAX(0,MIN(1.5,Assumptions!$G$67)-0.5)+(1-Assumptions!$G$72)/Assumptions!$B$92*MAX(0,MIN(1.5,Assumptions!$B$92)-0.5))</f>
        <v>148023.9022</v>
      </c>
      <c r="F81" s="258">
        <f>SUM('Capital and FCFF'!K21:K22,'Capital and FCFF'!K50:K55,'Capital and FCFF'!K64:K69)+C83*(Assumptions!$G$72/Assumptions!$G$67*MAX(0,MIN(3.5,Assumptions!$G$67)-2.5)+(1-Assumptions!$G$72)/Assumptions!$B$92*MAX(0,MIN(3.5,Assumptions!$B$92)-2.5))+D83*(Assumptions!$G$72/Assumptions!$G$67*MAX(0,MIN(2.5,Assumptions!$G$67)-1.5)+(1-Assumptions!$G$72)/Assumptions!$B$92*MAX(0,MIN(2.5,Assumptions!$B$92)-1.5))+E83*(Assumptions!$G$72/Assumptions!$G$67*MAX(0,MIN(1.5,Assumptions!$G$67)-0.5)+(1-Assumptions!$G$72)/Assumptions!$B$92*MAX(0,MIN(1.5,Assumptions!$B$92)-0.5))</f>
        <v>151494.1431</v>
      </c>
      <c r="G81" s="258">
        <f>SUM('Capital and FCFF'!L21:L22,'Capital and FCFF'!L50:L55,'Capital and FCFF'!L64:L69)+C83*(Assumptions!$G$72/Assumptions!$G$67*MAX(0,MIN(4.5,Assumptions!$G$67)-3.5)+(1-Assumptions!$G$72)/Assumptions!$B$92*MAX(0,MIN(4.5,Assumptions!$B$92)-3.5))+D83*(Assumptions!$G$72/Assumptions!$G$67*MAX(0,MIN(3.5,Assumptions!$G$67)-2.5)+(1-Assumptions!$G$72)/Assumptions!$B$92*MAX(0,MIN(3.5,Assumptions!$B$92)-2.5))+E83*(Assumptions!$G$72/Assumptions!$G$67*MAX(0,MIN(2.5,Assumptions!$G$67)-1.5)+(1-Assumptions!$G$72)/Assumptions!$B$92*MAX(0,MIN(2.5,Assumptions!$B$92)-1.5))+F83*(Assumptions!$G$72/Assumptions!$G$67*MAX(0,MIN(1.5,Assumptions!$G$67)-0.5)+(1-Assumptions!$G$72)/Assumptions!$B$92*MAX(0,MIN(1.5,Assumptions!$B$92)-0.5))</f>
        <v>153820.7276</v>
      </c>
      <c r="H81" s="258"/>
    </row>
    <row r="82">
      <c r="A82" s="258" t="s">
        <v>1392</v>
      </c>
      <c r="B82" s="258"/>
      <c r="C82" s="258">
        <f>'Capital and FCFF'!$H$92</f>
        <v>0.07</v>
      </c>
      <c r="D82" s="258">
        <f>'Capital and FCFF'!$H$92</f>
        <v>0.07</v>
      </c>
      <c r="E82" s="258">
        <f>'Capital and FCFF'!$H$92</f>
        <v>0.07</v>
      </c>
      <c r="F82" s="258">
        <f>'Capital and FCFF'!$H$92</f>
        <v>0.07</v>
      </c>
      <c r="G82" s="258">
        <f>'Capital and FCFF'!$H$92</f>
        <v>0.07</v>
      </c>
      <c r="H82" s="258"/>
    </row>
    <row r="83">
      <c r="A83" s="258" t="s">
        <v>1393</v>
      </c>
      <c r="B83" s="258"/>
      <c r="C83" s="258">
        <f t="shared" ref="C83:G83" si="26">MAX(0,(C78-(C79-C80)+C81)/(1-C82))</f>
        <v>205939.9376</v>
      </c>
      <c r="D83" s="258">
        <f t="shared" si="26"/>
        <v>206179.4965</v>
      </c>
      <c r="E83" s="258">
        <f t="shared" si="26"/>
        <v>202709.4187</v>
      </c>
      <c r="F83" s="258">
        <f t="shared" si="26"/>
        <v>196282.7019</v>
      </c>
      <c r="G83" s="258">
        <f t="shared" si="26"/>
        <v>187275.7803</v>
      </c>
      <c r="H83" s="258"/>
    </row>
    <row r="84">
      <c r="A84" s="258" t="s">
        <v>1394</v>
      </c>
      <c r="B84" s="258"/>
      <c r="C84" s="258">
        <f>MAX(0,2*(C83/Assumptions!$G$62-C80),C83*(1/Assumptions!$G$62+0.5)-C80)</f>
        <v>201249.9245</v>
      </c>
      <c r="D84" s="258">
        <f>MAX(0,2*(D83/Assumptions!$G$62-D80),D83*(1/Assumptions!$G$62+0.5)-D80)</f>
        <v>206738.4672</v>
      </c>
      <c r="E84" s="258">
        <f>MAX(0,2*(E83/Assumptions!$G$62-E80),E83*(1/Assumptions!$G$62+0.5)-E80)</f>
        <v>198381.5093</v>
      </c>
      <c r="F84" s="258">
        <f>MAX(0,2*(F83/Assumptions!$G$62-F80),F83*(1/Assumptions!$G$62+0.5)-F80)</f>
        <v>188784.8656</v>
      </c>
      <c r="G84" s="258">
        <f>MAX(0,2*(G83/Assumptions!$G$62-G80),G83*(1/Assumptions!$G$62+0.5)-G80)</f>
        <v>176767.7051</v>
      </c>
      <c r="H84" s="258"/>
    </row>
    <row r="85">
      <c r="A85" s="258" t="s">
        <v>1054</v>
      </c>
      <c r="B85" s="258"/>
      <c r="C85" s="258">
        <f t="shared" ref="C85:G85" si="27">C81+C83*C82</f>
        <v>151316.1617</v>
      </c>
      <c r="D85" s="258">
        <f t="shared" si="27"/>
        <v>157765.1673</v>
      </c>
      <c r="E85" s="258">
        <f t="shared" si="27"/>
        <v>162213.5615</v>
      </c>
      <c r="F85" s="258">
        <f t="shared" si="27"/>
        <v>165233.9323</v>
      </c>
      <c r="G85" s="258">
        <f t="shared" si="27"/>
        <v>166930.0322</v>
      </c>
      <c r="H85" s="258"/>
    </row>
    <row r="86">
      <c r="A86" s="258" t="s">
        <v>1395</v>
      </c>
      <c r="B86" s="258"/>
      <c r="C86" s="258">
        <f t="shared" ref="C86:G86" si="28">C80+C84-C83</f>
        <v>240263.2605</v>
      </c>
      <c r="D86" s="258">
        <f t="shared" si="28"/>
        <v>240822.2313</v>
      </c>
      <c r="E86" s="258">
        <f t="shared" si="28"/>
        <v>236494.3219</v>
      </c>
      <c r="F86" s="258">
        <f t="shared" si="28"/>
        <v>228996.4856</v>
      </c>
      <c r="G86" s="258">
        <f t="shared" si="28"/>
        <v>218488.4103</v>
      </c>
      <c r="H86" s="258"/>
    </row>
    <row r="87">
      <c r="A87" s="258" t="s">
        <v>1396</v>
      </c>
      <c r="B87" s="258"/>
      <c r="C87" s="258">
        <f t="shared" ref="C87:G87" si="29">C79+C84-C85</f>
        <v>1033905.018</v>
      </c>
      <c r="D87" s="258">
        <f t="shared" si="29"/>
        <v>1082878.318</v>
      </c>
      <c r="E87" s="258">
        <f t="shared" si="29"/>
        <v>1119046.266</v>
      </c>
      <c r="F87" s="258">
        <f t="shared" si="29"/>
        <v>1142597.2</v>
      </c>
      <c r="G87" s="258">
        <f t="shared" si="29"/>
        <v>1152434.872</v>
      </c>
      <c r="H87" s="258"/>
    </row>
    <row r="88">
      <c r="A88" s="258" t="s">
        <v>1397</v>
      </c>
      <c r="B88" s="258"/>
      <c r="C88" s="258">
        <f>C75*'Capital and FCFF'!$G$35/Transition!$B$9</f>
        <v>63975.48679</v>
      </c>
      <c r="D88" s="258">
        <f>D75*'Capital and FCFF'!$G$35/Transition!$B$9</f>
        <v>68058.00718</v>
      </c>
      <c r="E88" s="258">
        <f>E75*'Capital and FCFF'!$G$35/Transition!$B$9</f>
        <v>71520.51832</v>
      </c>
      <c r="F88" s="258">
        <f>F75*'Capital and FCFF'!$G$35/Transition!$B$9</f>
        <v>74233.85952</v>
      </c>
      <c r="G88" s="258">
        <f>G75*'Capital and FCFF'!$G$35/Transition!$B$9</f>
        <v>76089.70601</v>
      </c>
      <c r="H88" s="258"/>
    </row>
    <row r="89">
      <c r="A89" s="258" t="s">
        <v>1398</v>
      </c>
      <c r="B89" s="258"/>
      <c r="C89" s="258">
        <f>C88-'Capital and FCFF'!$G$35</f>
        <v>4560.226068</v>
      </c>
      <c r="D89" s="258">
        <f t="shared" ref="D89:G89" si="30">D88-C88</f>
        <v>4082.52039</v>
      </c>
      <c r="E89" s="258">
        <f t="shared" si="30"/>
        <v>3462.511142</v>
      </c>
      <c r="F89" s="258">
        <f t="shared" si="30"/>
        <v>2713.341204</v>
      </c>
      <c r="G89" s="258">
        <f t="shared" si="30"/>
        <v>1855.846488</v>
      </c>
      <c r="H89" s="258"/>
    </row>
    <row r="90">
      <c r="A90" s="258" t="s">
        <v>1399</v>
      </c>
      <c r="B90" s="258"/>
      <c r="C90" s="258">
        <f>Transition!$B$55-C85/C75+IF(ISNUMBER(Assumptions!$B$148),(Assumptions!$B$148-(Transition!$B$55-$G$85/$G$75))*C76,0)</f>
        <v>0.2825363871</v>
      </c>
      <c r="D90" s="258">
        <f>Transition!$B$55-D85/D75+IF(ISNUMBER(Assumptions!$B$148),(Assumptions!$B$148-(Transition!$B$55-$G$85/$G$75))*D76,0)</f>
        <v>0.2854832522</v>
      </c>
      <c r="E90" s="258">
        <f>Transition!$B$55-E85/E75+IF(ISNUMBER(Assumptions!$B$148),(Assumptions!$B$148-(Transition!$B$55-$G$85/$G$75))*E76,0)</f>
        <v>0.2886118394</v>
      </c>
      <c r="F90" s="258">
        <f>Transition!$B$55-F85/F75+IF(ISNUMBER(Assumptions!$B$148),(Assumptions!$B$148-(Transition!$B$55-$G$85/$G$75))*F76,0)</f>
        <v>0.2912517248</v>
      </c>
      <c r="G90" s="258">
        <f>Transition!$B$55-G85/G75+IF(ISNUMBER(Assumptions!$B$148),(Assumptions!$B$148-(Transition!$B$55-$G$85/$G$75))*G76,0)</f>
        <v>0.2932527887</v>
      </c>
      <c r="H90" s="258"/>
    </row>
    <row r="91">
      <c r="A91" s="258" t="s">
        <v>375</v>
      </c>
      <c r="B91" s="258"/>
      <c r="C91" s="258">
        <f>C75*C90-'Capital and FCFF'!H25-MAX(0,C75*C90-'Capital and FCFF'!H25*Assumptions!$B$239)*C77</f>
        <v>234778.0747</v>
      </c>
      <c r="D91" s="258">
        <f>D75*D90-'Capital and FCFF'!I25-MAX(0,D75*D90-'Capital and FCFF'!I25*Assumptions!$B$239)*D77</f>
        <v>250538.4097</v>
      </c>
      <c r="E91" s="258">
        <f>E75*E90-'Capital and FCFF'!J25-MAX(0,E75*E90-'Capital and FCFF'!J25*Assumptions!$B$239)*E77</f>
        <v>264220.7748</v>
      </c>
      <c r="F91" s="258">
        <f>F75*F90-'Capital and FCFF'!K25-MAX(0,F75*F90-'Capital and FCFF'!K25*Assumptions!$B$239)*F77</f>
        <v>274702.5242</v>
      </c>
      <c r="G91" s="258">
        <f>G75*G90-'Capital and FCFF'!L25-MAX(0,G75*G90-'Capital and FCFF'!L25*Assumptions!$B$239)*G77</f>
        <v>281379.7705</v>
      </c>
      <c r="H91" s="258"/>
    </row>
    <row r="92">
      <c r="A92" s="258" t="s">
        <v>630</v>
      </c>
      <c r="B92" s="258"/>
      <c r="C92" s="258">
        <f>C91+C85+'Capital and FCFF'!H25-C84-C89</f>
        <v>180783.0858</v>
      </c>
      <c r="D92" s="258">
        <f>D91+D85+'Capital and FCFF'!I25-D84-D89</f>
        <v>197981.5893</v>
      </c>
      <c r="E92" s="258">
        <f>E91+E85+'Capital and FCFF'!J25-E84-E89</f>
        <v>225089.3158</v>
      </c>
      <c r="F92" s="258">
        <f>F91+F85+'Capital and FCFF'!K25-F84-F89</f>
        <v>248937.2496</v>
      </c>
      <c r="G92" s="258">
        <f>G91+G85+'Capital and FCFF'!L25-G84-G89</f>
        <v>270185.2512</v>
      </c>
      <c r="H92" s="258"/>
    </row>
    <row r="93">
      <c r="A93" s="258" t="s">
        <v>1333</v>
      </c>
      <c r="B93" s="258"/>
      <c r="C93" s="258">
        <f t="shared" ref="C93:G93" si="31">(C79+C87+2*C88-C89)/2</f>
        <v>1070633.511</v>
      </c>
      <c r="D93" s="258">
        <f t="shared" si="31"/>
        <v>1124408.415</v>
      </c>
      <c r="E93" s="258">
        <f t="shared" si="31"/>
        <v>1170751.555</v>
      </c>
      <c r="F93" s="258">
        <f t="shared" si="31"/>
        <v>1203698.922</v>
      </c>
      <c r="G93" s="258">
        <f t="shared" si="31"/>
        <v>1222677.819</v>
      </c>
      <c r="H93" s="258"/>
    </row>
    <row r="94">
      <c r="A94" s="258" t="s">
        <v>1090</v>
      </c>
      <c r="B94" s="258"/>
      <c r="C94" s="258">
        <f t="shared" ref="C94:G94" si="32">C91/C93</f>
        <v>0.2192889279</v>
      </c>
      <c r="D94" s="258">
        <f t="shared" si="32"/>
        <v>0.2228179781</v>
      </c>
      <c r="E94" s="258">
        <f t="shared" si="32"/>
        <v>0.2256847524</v>
      </c>
      <c r="F94" s="258">
        <f t="shared" si="32"/>
        <v>0.2282153113</v>
      </c>
      <c r="G94" s="258">
        <f t="shared" si="32"/>
        <v>0.2301340273</v>
      </c>
      <c r="H94" s="258"/>
    </row>
    <row r="95">
      <c r="A95" s="258" t="s">
        <v>1400</v>
      </c>
      <c r="B95" s="258"/>
      <c r="C95" s="258"/>
      <c r="D95" s="258"/>
      <c r="E95" s="258"/>
      <c r="F95" s="258"/>
      <c r="G95" s="258">
        <f>G75*G90*(1-G77)*(1+$B$72)</f>
        <v>288925.7398</v>
      </c>
      <c r="H95" s="258"/>
    </row>
    <row r="96">
      <c r="A96" s="258" t="s">
        <v>1401</v>
      </c>
      <c r="B96" s="258"/>
      <c r="C96" s="258"/>
      <c r="D96" s="258"/>
      <c r="E96" s="258"/>
      <c r="F96" s="258"/>
      <c r="G96" s="258">
        <f>G75*G90*(1-G77)/(G87+G88)</f>
        <v>0.2294449582</v>
      </c>
      <c r="H96" s="258"/>
    </row>
    <row r="97">
      <c r="A97" s="258"/>
      <c r="B97" s="258"/>
      <c r="C97" s="258"/>
      <c r="D97" s="258"/>
      <c r="E97" s="258"/>
      <c r="F97" s="258"/>
      <c r="G97" s="258"/>
      <c r="H97" s="258"/>
    </row>
    <row r="98">
      <c r="A98" s="258"/>
      <c r="B98" s="258"/>
      <c r="C98" s="258"/>
      <c r="D98" s="258"/>
      <c r="E98" s="258"/>
      <c r="F98" s="258"/>
      <c r="G98" s="258"/>
      <c r="H98" s="258"/>
    </row>
    <row r="99">
      <c r="A99" s="258"/>
      <c r="B99" s="258"/>
      <c r="C99" s="258"/>
      <c r="D99" s="258"/>
      <c r="E99" s="258"/>
      <c r="F99" s="258"/>
      <c r="G99" s="258"/>
      <c r="H99" s="258"/>
    </row>
    <row r="100">
      <c r="A100" s="258"/>
      <c r="B100" s="258"/>
      <c r="C100" s="258"/>
      <c r="D100" s="258"/>
      <c r="E100" s="258"/>
      <c r="F100" s="258"/>
      <c r="G100" s="258"/>
      <c r="H100" s="258"/>
    </row>
    <row r="101">
      <c r="A101" s="258"/>
      <c r="B101" s="258"/>
      <c r="C101" s="258"/>
      <c r="D101" s="258"/>
      <c r="E101" s="258"/>
      <c r="F101" s="258"/>
      <c r="G101" s="258"/>
      <c r="H101" s="258"/>
    </row>
    <row r="102">
      <c r="A102" s="258"/>
      <c r="B102" s="258"/>
      <c r="C102" s="258"/>
      <c r="D102" s="258"/>
      <c r="E102" s="258"/>
      <c r="F102" s="258"/>
      <c r="G102" s="258"/>
      <c r="H102" s="258"/>
    </row>
    <row r="103">
      <c r="A103" s="258"/>
      <c r="B103" s="258"/>
      <c r="C103" s="258"/>
      <c r="D103" s="258"/>
      <c r="E103" s="258"/>
      <c r="F103" s="258"/>
      <c r="G103" s="258"/>
      <c r="H103" s="258"/>
    </row>
    <row r="104">
      <c r="A104" s="258" t="s">
        <v>1403</v>
      </c>
      <c r="B104" s="258">
        <f>$A19</f>
        <v>0.03</v>
      </c>
      <c r="C104" s="258"/>
      <c r="D104" s="258"/>
      <c r="E104" s="258"/>
      <c r="F104" s="258"/>
      <c r="G104" s="258"/>
      <c r="H104" s="258"/>
    </row>
    <row r="105">
      <c r="A105" s="258" t="s">
        <v>1386</v>
      </c>
      <c r="B105" s="258"/>
      <c r="C105" s="258">
        <v>2032.0</v>
      </c>
      <c r="D105" s="258">
        <v>2033.0</v>
      </c>
      <c r="E105" s="258">
        <v>2034.0</v>
      </c>
      <c r="F105" s="258">
        <v>2035.0</v>
      </c>
      <c r="G105" s="258">
        <v>2036.0</v>
      </c>
      <c r="H105" s="258"/>
    </row>
    <row r="106">
      <c r="A106" s="258" t="s">
        <v>624</v>
      </c>
      <c r="B106" s="258"/>
      <c r="C106" s="258">
        <f>Transition!$B$8+($B$104-Transition!$B$8)*C108</f>
        <v>0.07775176399</v>
      </c>
      <c r="D106" s="258">
        <f>Transition!$B$8+($B$104-Transition!$B$8)*D108</f>
        <v>0.06581382299</v>
      </c>
      <c r="E106" s="258">
        <f>Transition!$B$8+($B$104-Transition!$B$8)*E108</f>
        <v>0.053875882</v>
      </c>
      <c r="F106" s="258">
        <f>Transition!$B$8+($B$104-Transition!$B$8)*F108</f>
        <v>0.041937941</v>
      </c>
      <c r="G106" s="258">
        <f>Transition!$B$8+($B$104-Transition!$B$8)*G108</f>
        <v>0.03</v>
      </c>
      <c r="H106" s="258"/>
    </row>
    <row r="107">
      <c r="A107" s="258" t="s">
        <v>625</v>
      </c>
      <c r="B107" s="258">
        <f>Transition!B9</f>
        <v>950091.0513</v>
      </c>
      <c r="C107" s="258">
        <f t="shared" ref="C107:G107" si="33">B107*(1+C106)</f>
        <v>1023962.307</v>
      </c>
      <c r="D107" s="258">
        <f t="shared" si="33"/>
        <v>1091353.181</v>
      </c>
      <c r="E107" s="258">
        <f t="shared" si="33"/>
        <v>1150150.796</v>
      </c>
      <c r="F107" s="258">
        <f t="shared" si="33"/>
        <v>1198385.752</v>
      </c>
      <c r="G107" s="258">
        <f t="shared" si="33"/>
        <v>1234337.324</v>
      </c>
      <c r="H107" s="258"/>
    </row>
    <row r="108">
      <c r="A108" s="258" t="s">
        <v>1387</v>
      </c>
      <c r="B108" s="258"/>
      <c r="C108" s="258">
        <v>0.2</v>
      </c>
      <c r="D108" s="258">
        <v>0.4</v>
      </c>
      <c r="E108" s="258">
        <v>0.6</v>
      </c>
      <c r="F108" s="258">
        <v>0.8</v>
      </c>
      <c r="G108" s="258">
        <v>1.0</v>
      </c>
      <c r="H108" s="258"/>
    </row>
    <row r="109">
      <c r="A109" s="258" t="s">
        <v>930</v>
      </c>
      <c r="B109" s="258"/>
      <c r="C109" s="258">
        <f>Transition!$B$12+(Assumptions!$B$149-Transition!$B$12)*C108</f>
        <v>0.186</v>
      </c>
      <c r="D109" s="258">
        <f>Transition!$B$12+(Assumptions!$B$149-Transition!$B$12)*D108</f>
        <v>0.192</v>
      </c>
      <c r="E109" s="258">
        <f>Transition!$B$12+(Assumptions!$B$149-Transition!$B$12)*E108</f>
        <v>0.198</v>
      </c>
      <c r="F109" s="258">
        <f>Transition!$B$12+(Assumptions!$B$149-Transition!$B$12)*F108</f>
        <v>0.204</v>
      </c>
      <c r="G109" s="258">
        <f>Transition!$B$12+(Assumptions!$B$149-Transition!$B$12)*G108</f>
        <v>0.21</v>
      </c>
      <c r="H109" s="258"/>
    </row>
    <row r="110">
      <c r="A110" s="258" t="s">
        <v>1388</v>
      </c>
      <c r="B110" s="258"/>
      <c r="C110" s="258">
        <f>C107*(Transition!$B$50+(Transition!$B$48*Assumptions!$B$192-Transition!$B$50)*C108)</f>
        <v>794378.8282</v>
      </c>
      <c r="D110" s="258">
        <f>D107*(Transition!$B$50+(Transition!$B$48*Assumptions!$B$192-Transition!$B$50)*D108)</f>
        <v>844422.6801</v>
      </c>
      <c r="E110" s="258">
        <f>E107*(Transition!$B$50+(Transition!$B$48*Assumptions!$B$192-Transition!$B$50)*E108)</f>
        <v>887558.907</v>
      </c>
      <c r="F110" s="258">
        <f>F107*(Transition!$B$50+(Transition!$B$48*Assumptions!$B$192-Transition!$B$50)*F108)</f>
        <v>922324.6294</v>
      </c>
      <c r="G110" s="258">
        <f>G107*(Transition!$B$50+(Transition!$B$48*Assumptions!$B$192-Transition!$B$50)*G108)</f>
        <v>947463.9976</v>
      </c>
      <c r="H110" s="258"/>
    </row>
    <row r="111">
      <c r="A111" s="258" t="s">
        <v>1389</v>
      </c>
      <c r="B111" s="258"/>
      <c r="C111" s="258">
        <f>'Capital and FCFF'!G26</f>
        <v>983971.2555</v>
      </c>
      <c r="D111" s="258">
        <f t="shared" ref="D111:G111" si="34">C119</f>
        <v>1035566.729</v>
      </c>
      <c r="E111" s="258">
        <f t="shared" si="34"/>
        <v>1088687.066</v>
      </c>
      <c r="F111" s="258">
        <f t="shared" si="34"/>
        <v>1127833.397</v>
      </c>
      <c r="G111" s="258">
        <f t="shared" si="34"/>
        <v>1157020.893</v>
      </c>
      <c r="H111" s="258"/>
    </row>
    <row r="112">
      <c r="A112" s="258" t="s">
        <v>1390</v>
      </c>
      <c r="B112" s="258"/>
      <c r="C112" s="258">
        <f>'Capital and FCFF'!G15</f>
        <v>244953.2736</v>
      </c>
      <c r="D112" s="258">
        <f t="shared" ref="D112:G112" si="35">C118</f>
        <v>241187.9007</v>
      </c>
      <c r="E112" s="258">
        <f t="shared" si="35"/>
        <v>244264.3858</v>
      </c>
      <c r="F112" s="258">
        <f t="shared" si="35"/>
        <v>240274.4901</v>
      </c>
      <c r="G112" s="258">
        <f t="shared" si="35"/>
        <v>234696.2638</v>
      </c>
      <c r="H112" s="258"/>
    </row>
    <row r="113">
      <c r="A113" s="258" t="s">
        <v>1391</v>
      </c>
      <c r="B113" s="258"/>
      <c r="C113" s="258">
        <f>SUM('Capital and FCFF'!H21:H22,'Capital and FCFF'!H50:H55,'Capital and FCFF'!H64:H69)</f>
        <v>136900.3661</v>
      </c>
      <c r="D113" s="258">
        <f>SUM('Capital and FCFF'!I21:I22,'Capital and FCFF'!I50:I55,'Capital and FCFF'!I64:I69)+C115*(Assumptions!$G$72/Assumptions!$G$67*MAX(0,MIN(1.5,Assumptions!$G$67)-0.5)+(1-Assumptions!$G$72)/Assumptions!$B$92*MAX(0,MIN(1.5,Assumptions!$B$92)-0.5))</f>
        <v>143443.5594</v>
      </c>
      <c r="E113" s="258">
        <f>SUM('Capital and FCFF'!J21:J22,'Capital and FCFF'!J50:J55,'Capital and FCFF'!J64:J69)+C115*(Assumptions!$G$72/Assumptions!$G$67*MAX(0,MIN(2.5,Assumptions!$G$67)-1.5)+(1-Assumptions!$G$72)/Assumptions!$B$92*MAX(0,MIN(2.5,Assumptions!$B$92)-1.5))+D115*(Assumptions!$G$72/Assumptions!$G$67*MAX(0,MIN(1.5,Assumptions!$G$67)-0.5)+(1-Assumptions!$G$72)/Assumptions!$B$92*MAX(0,MIN(1.5,Assumptions!$B$92)-0.5))</f>
        <v>148396.8667</v>
      </c>
      <c r="F113" s="258">
        <f>SUM('Capital and FCFF'!K21:K22,'Capital and FCFF'!K50:K55,'Capital and FCFF'!K64:K69)+C115*(Assumptions!$G$72/Assumptions!$G$67*MAX(0,MIN(3.5,Assumptions!$G$67)-2.5)+(1-Assumptions!$G$72)/Assumptions!$B$92*MAX(0,MIN(3.5,Assumptions!$B$92)-2.5))+D115*(Assumptions!$G$72/Assumptions!$G$67*MAX(0,MIN(2.5,Assumptions!$G$67)-1.5)+(1-Assumptions!$G$72)/Assumptions!$B$92*MAX(0,MIN(2.5,Assumptions!$B$92)-1.5))+E115*(Assumptions!$G$72/Assumptions!$G$67*MAX(0,MIN(1.5,Assumptions!$G$67)-0.5)+(1-Assumptions!$G$72)/Assumptions!$B$92*MAX(0,MIN(1.5,Assumptions!$B$92)-0.5))</f>
        <v>152320.7278</v>
      </c>
      <c r="G113" s="258">
        <f>SUM('Capital and FCFF'!L21:L22,'Capital and FCFF'!L50:L55,'Capital and FCFF'!L64:L69)+C115*(Assumptions!$G$72/Assumptions!$G$67*MAX(0,MIN(4.5,Assumptions!$G$67)-3.5)+(1-Assumptions!$G$72)/Assumptions!$B$92*MAX(0,MIN(4.5,Assumptions!$B$92)-3.5))+D115*(Assumptions!$G$72/Assumptions!$G$67*MAX(0,MIN(3.5,Assumptions!$G$67)-2.5)+(1-Assumptions!$G$72)/Assumptions!$B$92*MAX(0,MIN(3.5,Assumptions!$B$92)-2.5))+E115*(Assumptions!$G$72/Assumptions!$G$67*MAX(0,MIN(2.5,Assumptions!$G$67)-1.5)+(1-Assumptions!$G$72)/Assumptions!$B$92*MAX(0,MIN(2.5,Assumptions!$B$92)-1.5))+F115*(Assumptions!$G$72/Assumptions!$G$67*MAX(0,MIN(1.5,Assumptions!$G$67)-0.5)+(1-Assumptions!$G$72)/Assumptions!$B$92*MAX(0,MIN(1.5,Assumptions!$B$92)-0.5))</f>
        <v>155331.2857</v>
      </c>
      <c r="H113" s="258"/>
    </row>
    <row r="114">
      <c r="A114" s="258" t="s">
        <v>1392</v>
      </c>
      <c r="B114" s="258"/>
      <c r="C114" s="258">
        <f>'Capital and FCFF'!$H$92</f>
        <v>0.07</v>
      </c>
      <c r="D114" s="258">
        <f>'Capital and FCFF'!$H$92</f>
        <v>0.07</v>
      </c>
      <c r="E114" s="258">
        <f>'Capital and FCFF'!$H$92</f>
        <v>0.07</v>
      </c>
      <c r="F114" s="258">
        <f>'Capital and FCFF'!$H$92</f>
        <v>0.07</v>
      </c>
      <c r="G114" s="258">
        <f>'Capital and FCFF'!$H$92</f>
        <v>0.07</v>
      </c>
      <c r="H114" s="258"/>
    </row>
    <row r="115">
      <c r="A115" s="258" t="s">
        <v>1393</v>
      </c>
      <c r="B115" s="258"/>
      <c r="C115" s="258">
        <f t="shared" ref="C115:G115" si="36">MAX(0,(C110-(C111-C112)+C113)/(1-C114))</f>
        <v>206732.4863</v>
      </c>
      <c r="D115" s="258">
        <f t="shared" si="36"/>
        <v>208050.9799</v>
      </c>
      <c r="E115" s="258">
        <f t="shared" si="36"/>
        <v>205949.563</v>
      </c>
      <c r="F115" s="258">
        <f t="shared" si="36"/>
        <v>201168.2261</v>
      </c>
      <c r="G115" s="258">
        <f t="shared" si="36"/>
        <v>194054.4665</v>
      </c>
      <c r="H115" s="258"/>
    </row>
    <row r="116">
      <c r="A116" s="258" t="s">
        <v>1394</v>
      </c>
      <c r="B116" s="258"/>
      <c r="C116" s="258">
        <f>MAX(0,2*(C115/Assumptions!$G$62-C112),C115*(1/Assumptions!$G$62+0.5)-C112)</f>
        <v>202967.1134</v>
      </c>
      <c r="D116" s="258">
        <f>MAX(0,2*(D115/Assumptions!$G$62-D112),D115*(1/Assumptions!$G$62+0.5)-D112)</f>
        <v>211127.465</v>
      </c>
      <c r="E116" s="258">
        <f>MAX(0,2*(E115/Assumptions!$G$62-E112),E115*(1/Assumptions!$G$62+0.5)-E112)</f>
        <v>201959.6673</v>
      </c>
      <c r="F116" s="258">
        <f>MAX(0,2*(F115/Assumptions!$G$62-F112),F115*(1/Assumptions!$G$62+0.5)-F112)</f>
        <v>195589.9997</v>
      </c>
      <c r="G116" s="258">
        <f>MAX(0,2*(G115/Assumptions!$G$62-G112),G115*(1/Assumptions!$G$62+0.5)-G112)</f>
        <v>185755.0802</v>
      </c>
      <c r="H116" s="258"/>
    </row>
    <row r="117">
      <c r="A117" s="258" t="s">
        <v>1054</v>
      </c>
      <c r="B117" s="258"/>
      <c r="C117" s="258">
        <f t="shared" ref="C117:G117" si="37">C113+C115*C114</f>
        <v>151371.6401</v>
      </c>
      <c r="D117" s="258">
        <f t="shared" si="37"/>
        <v>158007.128</v>
      </c>
      <c r="E117" s="258">
        <f t="shared" si="37"/>
        <v>162813.3361</v>
      </c>
      <c r="F117" s="258">
        <f t="shared" si="37"/>
        <v>166402.5036</v>
      </c>
      <c r="G117" s="258">
        <f t="shared" si="37"/>
        <v>168915.0983</v>
      </c>
      <c r="H117" s="258"/>
    </row>
    <row r="118">
      <c r="A118" s="258" t="s">
        <v>1395</v>
      </c>
      <c r="B118" s="258"/>
      <c r="C118" s="258">
        <f t="shared" ref="C118:G118" si="38">C112+C116-C115</f>
        <v>241187.9007</v>
      </c>
      <c r="D118" s="258">
        <f t="shared" si="38"/>
        <v>244264.3858</v>
      </c>
      <c r="E118" s="258">
        <f t="shared" si="38"/>
        <v>240274.4901</v>
      </c>
      <c r="F118" s="258">
        <f t="shared" si="38"/>
        <v>234696.2638</v>
      </c>
      <c r="G118" s="258">
        <f t="shared" si="38"/>
        <v>226396.8775</v>
      </c>
      <c r="H118" s="258"/>
    </row>
    <row r="119">
      <c r="A119" s="258" t="s">
        <v>1396</v>
      </c>
      <c r="B119" s="258"/>
      <c r="C119" s="258">
        <f t="shared" ref="C119:G119" si="39">C111+C116-C117</f>
        <v>1035566.729</v>
      </c>
      <c r="D119" s="258">
        <f t="shared" si="39"/>
        <v>1088687.066</v>
      </c>
      <c r="E119" s="258">
        <f t="shared" si="39"/>
        <v>1127833.397</v>
      </c>
      <c r="F119" s="258">
        <f t="shared" si="39"/>
        <v>1157020.893</v>
      </c>
      <c r="G119" s="258">
        <f t="shared" si="39"/>
        <v>1173860.875</v>
      </c>
      <c r="H119" s="258"/>
    </row>
    <row r="120">
      <c r="A120" s="258" t="s">
        <v>1397</v>
      </c>
      <c r="B120" s="258"/>
      <c r="C120" s="258">
        <f>C107*'Capital and FCFF'!$G$35/Transition!$B$9</f>
        <v>64034.90205</v>
      </c>
      <c r="D120" s="258">
        <f>D107*'Capital and FCFF'!$G$35/Transition!$B$9</f>
        <v>68249.28376</v>
      </c>
      <c r="E120" s="258">
        <f>E107*'Capital and FCFF'!$G$35/Transition!$B$9</f>
        <v>71926.27412</v>
      </c>
      <c r="F120" s="258">
        <f>F107*'Capital and FCFF'!$G$35/Transition!$B$9</f>
        <v>74942.71396</v>
      </c>
      <c r="G120" s="258">
        <f>G107*'Capital and FCFF'!$G$35/Transition!$B$9</f>
        <v>77190.99538</v>
      </c>
      <c r="H120" s="258"/>
    </row>
    <row r="121">
      <c r="A121" s="258" t="s">
        <v>1398</v>
      </c>
      <c r="B121" s="258"/>
      <c r="C121" s="258">
        <f>C120-'Capital and FCFF'!$G$35</f>
        <v>4619.641329</v>
      </c>
      <c r="D121" s="258">
        <f t="shared" ref="D121:G121" si="40">D120-C120</f>
        <v>4214.381709</v>
      </c>
      <c r="E121" s="258">
        <f t="shared" si="40"/>
        <v>3676.990358</v>
      </c>
      <c r="F121" s="258">
        <f t="shared" si="40"/>
        <v>3016.43984</v>
      </c>
      <c r="G121" s="258">
        <f t="shared" si="40"/>
        <v>2248.281419</v>
      </c>
      <c r="H121" s="258"/>
    </row>
    <row r="122">
      <c r="A122" s="258" t="s">
        <v>1399</v>
      </c>
      <c r="B122" s="258"/>
      <c r="C122" s="258">
        <f>Transition!$B$55-C117/C107+IF(ISNUMBER(Assumptions!$B$148),(Assumptions!$B$148-(Transition!$B$55-$G$117/$G$107))*C108,0)</f>
        <v>0.2826194486</v>
      </c>
      <c r="D122" s="258">
        <f>Transition!$B$55-D117/D107+IF(ISNUMBER(Assumptions!$B$148),(Assumptions!$B$148-(Transition!$B$55-$G$117/$G$107))*D108,0)</f>
        <v>0.2856678279</v>
      </c>
      <c r="E122" s="258">
        <f>Transition!$B$55-E117/E107+IF(ISNUMBER(Assumptions!$B$148),(Assumptions!$B$148-(Transition!$B$55-$G$117/$G$107))*E108,0)</f>
        <v>0.2888905056</v>
      </c>
      <c r="F122" s="258">
        <f>Transition!$B$55-F117/F107+IF(ISNUMBER(Assumptions!$B$148),(Assumptions!$B$148-(Transition!$B$55-$G$117/$G$107))*F108,0)</f>
        <v>0.291593215</v>
      </c>
      <c r="G122" s="258">
        <f>Transition!$B$55-G117/G107+IF(ISNUMBER(Assumptions!$B$148),(Assumptions!$B$148-(Transition!$B$55-$G$117/$G$107))*G108,0)</f>
        <v>0.2936019693</v>
      </c>
      <c r="H122" s="258"/>
    </row>
    <row r="123">
      <c r="A123" s="258" t="s">
        <v>375</v>
      </c>
      <c r="B123" s="258"/>
      <c r="C123" s="258">
        <f>C107*C122-'Capital and FCFF'!H25-MAX(0,C107*C122-'Capital and FCFF'!H25*Assumptions!$B$239)*C109</f>
        <v>235065.8132</v>
      </c>
      <c r="D123" s="258">
        <f>D107*D122-'Capital and FCFF'!I25-MAX(0,D107*D122-'Capital and FCFF'!I25*Assumptions!$B$239)*D109</f>
        <v>251406.71</v>
      </c>
      <c r="E123" s="258">
        <f>E107*E122-'Capital and FCFF'!J25-MAX(0,E107*E122-'Capital and FCFF'!J25*Assumptions!$B$239)*E109</f>
        <v>265979.6512</v>
      </c>
      <c r="F123" s="258">
        <f>F107*F122-'Capital and FCFF'!K25-MAX(0,F107*F122-'Capital and FCFF'!K25*Assumptions!$B$239)*F109</f>
        <v>277656.1588</v>
      </c>
      <c r="G123" s="258">
        <f>G107*G122-'Capital and FCFF'!L25-MAX(0,G107*G122-'Capital and FCFF'!L25*Assumptions!$B$239)*G109</f>
        <v>285800.0567</v>
      </c>
      <c r="H123" s="258"/>
    </row>
    <row r="124">
      <c r="A124" s="258" t="s">
        <v>630</v>
      </c>
      <c r="B124" s="258"/>
      <c r="C124" s="258">
        <f>C123+C117+'Capital and FCFF'!H25-C116-C121</f>
        <v>179349.6986</v>
      </c>
      <c r="D124" s="258">
        <f>D123+D117+'Capital and FCFF'!I25-D116-D121</f>
        <v>194570.9913</v>
      </c>
      <c r="E124" s="258">
        <f>E123+E117+'Capital and FCFF'!J25-E116-E121</f>
        <v>223655.3296</v>
      </c>
      <c r="F124" s="258">
        <f>F123+F117+'Capital and FCFF'!K25-F116-F121</f>
        <v>245951.2229</v>
      </c>
      <c r="G124" s="258">
        <f>G123+G117+'Capital and FCFF'!L25-G116-G121</f>
        <v>267210.7934</v>
      </c>
      <c r="H124" s="258"/>
    </row>
    <row r="125">
      <c r="A125" s="258" t="s">
        <v>1333</v>
      </c>
      <c r="B125" s="258"/>
      <c r="C125" s="258">
        <f t="shared" ref="C125:G125" si="41">(C111+C119+2*C120-C121)/2</f>
        <v>1071494.074</v>
      </c>
      <c r="D125" s="258">
        <f t="shared" si="41"/>
        <v>1128268.99</v>
      </c>
      <c r="E125" s="258">
        <f t="shared" si="41"/>
        <v>1178348.01</v>
      </c>
      <c r="F125" s="258">
        <f t="shared" si="41"/>
        <v>1215861.639</v>
      </c>
      <c r="G125" s="258">
        <f t="shared" si="41"/>
        <v>1241507.739</v>
      </c>
      <c r="H125" s="258"/>
    </row>
    <row r="126">
      <c r="A126" s="258" t="s">
        <v>1090</v>
      </c>
      <c r="B126" s="258"/>
      <c r="C126" s="258">
        <f t="shared" ref="C126:G126" si="42">C123/C125</f>
        <v>0.2193813471</v>
      </c>
      <c r="D126" s="258">
        <f t="shared" si="42"/>
        <v>0.2228251526</v>
      </c>
      <c r="E126" s="258">
        <f t="shared" si="42"/>
        <v>0.2257224935</v>
      </c>
      <c r="F126" s="258">
        <f t="shared" si="42"/>
        <v>0.2283616407</v>
      </c>
      <c r="G126" s="258">
        <f t="shared" si="42"/>
        <v>0.2302040074</v>
      </c>
      <c r="H126" s="258"/>
    </row>
    <row r="127">
      <c r="A127" s="258" t="s">
        <v>1400</v>
      </c>
      <c r="B127" s="258"/>
      <c r="C127" s="258"/>
      <c r="D127" s="258"/>
      <c r="E127" s="258"/>
      <c r="F127" s="258"/>
      <c r="G127" s="258">
        <f>G107*G122*(1-G109)*(1+$B$104)</f>
        <v>294888.0285</v>
      </c>
      <c r="H127" s="258"/>
    </row>
    <row r="128">
      <c r="A128" s="258" t="s">
        <v>1401</v>
      </c>
      <c r="B128" s="258"/>
      <c r="C128" s="258"/>
      <c r="D128" s="258"/>
      <c r="E128" s="258"/>
      <c r="F128" s="258"/>
      <c r="G128" s="258">
        <f>G107*G122*(1-G109)/(G119+G120)</f>
        <v>0.2288466718</v>
      </c>
      <c r="H128" s="258"/>
    </row>
    <row r="129">
      <c r="A129" s="258"/>
      <c r="B129" s="258"/>
      <c r="C129" s="258"/>
      <c r="D129" s="258"/>
      <c r="E129" s="258"/>
      <c r="F129" s="258"/>
      <c r="G129" s="258"/>
      <c r="H129" s="258"/>
    </row>
    <row r="130">
      <c r="A130" s="258"/>
      <c r="B130" s="258"/>
      <c r="C130" s="258"/>
      <c r="D130" s="258"/>
      <c r="E130" s="258"/>
      <c r="F130" s="258"/>
      <c r="G130" s="258"/>
      <c r="H130" s="258"/>
    </row>
    <row r="131">
      <c r="A131" s="258"/>
      <c r="B131" s="258"/>
      <c r="C131" s="258"/>
      <c r="D131" s="258"/>
      <c r="E131" s="258"/>
      <c r="F131" s="258"/>
      <c r="G131" s="258"/>
      <c r="H131" s="258"/>
    </row>
    <row r="132">
      <c r="A132" s="258"/>
      <c r="B132" s="258"/>
      <c r="C132" s="258"/>
      <c r="D132" s="258"/>
      <c r="E132" s="258"/>
      <c r="F132" s="258"/>
      <c r="G132" s="258"/>
      <c r="H132" s="258"/>
    </row>
    <row r="133">
      <c r="A133" s="258"/>
      <c r="B133" s="258"/>
      <c r="C133" s="258"/>
      <c r="D133" s="258"/>
      <c r="E133" s="258"/>
      <c r="F133" s="258"/>
      <c r="G133" s="258"/>
      <c r="H133" s="258"/>
    </row>
    <row r="134">
      <c r="A134" s="258"/>
      <c r="B134" s="258"/>
      <c r="C134" s="258"/>
      <c r="D134" s="258"/>
      <c r="E134" s="258"/>
      <c r="F134" s="258"/>
      <c r="G134" s="258"/>
      <c r="H134" s="258"/>
    </row>
    <row r="135">
      <c r="A135" s="258"/>
      <c r="B135" s="258"/>
      <c r="C135" s="258"/>
      <c r="D135" s="258"/>
      <c r="E135" s="258"/>
      <c r="F135" s="258"/>
      <c r="G135" s="258"/>
      <c r="H135" s="258"/>
    </row>
    <row r="136">
      <c r="A136" s="258" t="s">
        <v>1404</v>
      </c>
      <c r="B136" s="258">
        <f>$A20</f>
        <v>0.035</v>
      </c>
      <c r="C136" s="258"/>
      <c r="D136" s="258"/>
      <c r="E136" s="258"/>
      <c r="F136" s="258"/>
      <c r="G136" s="258"/>
      <c r="H136" s="258"/>
    </row>
    <row r="137">
      <c r="A137" s="258" t="s">
        <v>1386</v>
      </c>
      <c r="B137" s="258"/>
      <c r="C137" s="258">
        <v>2032.0</v>
      </c>
      <c r="D137" s="258">
        <v>2033.0</v>
      </c>
      <c r="E137" s="258">
        <v>2034.0</v>
      </c>
      <c r="F137" s="258">
        <v>2035.0</v>
      </c>
      <c r="G137" s="258">
        <v>2036.0</v>
      </c>
      <c r="H137" s="258"/>
    </row>
    <row r="138">
      <c r="A138" s="258" t="s">
        <v>624</v>
      </c>
      <c r="B138" s="258"/>
      <c r="C138" s="258">
        <f>Transition!$B$8+($B$136-Transition!$B$8)*C140</f>
        <v>0.07875176399</v>
      </c>
      <c r="D138" s="258">
        <f>Transition!$B$8+($B$136-Transition!$B$8)*D140</f>
        <v>0.06781382299</v>
      </c>
      <c r="E138" s="258">
        <f>Transition!$B$8+($B$136-Transition!$B$8)*E140</f>
        <v>0.056875882</v>
      </c>
      <c r="F138" s="258">
        <f>Transition!$B$8+($B$136-Transition!$B$8)*F140</f>
        <v>0.045937941</v>
      </c>
      <c r="G138" s="258">
        <f>Transition!$B$8+($B$136-Transition!$B$8)*G140</f>
        <v>0.035</v>
      </c>
      <c r="H138" s="258"/>
    </row>
    <row r="139">
      <c r="A139" s="258" t="s">
        <v>625</v>
      </c>
      <c r="B139" s="258">
        <f>Transition!B9</f>
        <v>950091.0513</v>
      </c>
      <c r="C139" s="258">
        <f t="shared" ref="C139:G139" si="43">B139*(1+C138)</f>
        <v>1024912.398</v>
      </c>
      <c r="D139" s="258">
        <f t="shared" si="43"/>
        <v>1094415.626</v>
      </c>
      <c r="E139" s="258">
        <f t="shared" si="43"/>
        <v>1156661.479</v>
      </c>
      <c r="F139" s="258">
        <f t="shared" si="43"/>
        <v>1209796.126</v>
      </c>
      <c r="G139" s="258">
        <f t="shared" si="43"/>
        <v>1252138.991</v>
      </c>
      <c r="H139" s="258"/>
    </row>
    <row r="140">
      <c r="A140" s="258" t="s">
        <v>1387</v>
      </c>
      <c r="B140" s="258"/>
      <c r="C140" s="258">
        <v>0.2</v>
      </c>
      <c r="D140" s="258">
        <v>0.4</v>
      </c>
      <c r="E140" s="258">
        <v>0.6</v>
      </c>
      <c r="F140" s="258">
        <v>0.8</v>
      </c>
      <c r="G140" s="258">
        <v>1.0</v>
      </c>
      <c r="H140" s="258"/>
    </row>
    <row r="141">
      <c r="A141" s="258" t="s">
        <v>930</v>
      </c>
      <c r="B141" s="258"/>
      <c r="C141" s="258">
        <f>Transition!$B$12+(Assumptions!$B$149-Transition!$B$12)*C140</f>
        <v>0.186</v>
      </c>
      <c r="D141" s="258">
        <f>Transition!$B$12+(Assumptions!$B$149-Transition!$B$12)*D140</f>
        <v>0.192</v>
      </c>
      <c r="E141" s="258">
        <f>Transition!$B$12+(Assumptions!$B$149-Transition!$B$12)*E140</f>
        <v>0.198</v>
      </c>
      <c r="F141" s="258">
        <f>Transition!$B$12+(Assumptions!$B$149-Transition!$B$12)*F140</f>
        <v>0.204</v>
      </c>
      <c r="G141" s="258">
        <f>Transition!$B$12+(Assumptions!$B$149-Transition!$B$12)*G140</f>
        <v>0.21</v>
      </c>
      <c r="H141" s="258"/>
    </row>
    <row r="142">
      <c r="A142" s="258" t="s">
        <v>1388</v>
      </c>
      <c r="B142" s="258"/>
      <c r="C142" s="258">
        <f>C139*(Transition!$B$50+(Transition!$B$48*Assumptions!$B$192-Transition!$B$50)*C140)</f>
        <v>795115.8985</v>
      </c>
      <c r="D142" s="258">
        <f>D139*(Transition!$B$50+(Transition!$B$48*Assumptions!$B$192-Transition!$B$50)*D140)</f>
        <v>846792.2137</v>
      </c>
      <c r="E142" s="258">
        <f>E139*(Transition!$B$50+(Transition!$B$48*Assumptions!$B$192-Transition!$B$50)*E140)</f>
        <v>892583.1311</v>
      </c>
      <c r="F142" s="258">
        <f>F139*(Transition!$B$50+(Transition!$B$48*Assumptions!$B$192-Transition!$B$50)*F140)</f>
        <v>931106.5006</v>
      </c>
      <c r="G142" s="258">
        <f>G139*(Transition!$B$50+(Transition!$B$48*Assumptions!$B$192-Transition!$B$50)*G140)</f>
        <v>961128.3643</v>
      </c>
      <c r="H142" s="258"/>
    </row>
    <row r="143">
      <c r="A143" s="258" t="s">
        <v>1389</v>
      </c>
      <c r="B143" s="258"/>
      <c r="C143" s="258">
        <f>'Capital and FCFF'!G26</f>
        <v>983971.2555</v>
      </c>
      <c r="D143" s="258">
        <f t="shared" ref="D143:G143" si="44">C151</f>
        <v>1037228.439</v>
      </c>
      <c r="E143" s="258">
        <f t="shared" si="44"/>
        <v>1094506.131</v>
      </c>
      <c r="F143" s="258">
        <f t="shared" si="44"/>
        <v>1136656.31</v>
      </c>
      <c r="G143" s="258">
        <f t="shared" si="44"/>
        <v>1171556.936</v>
      </c>
      <c r="H143" s="258"/>
    </row>
    <row r="144">
      <c r="A144" s="258" t="s">
        <v>1390</v>
      </c>
      <c r="B144" s="258"/>
      <c r="C144" s="258">
        <f>'Capital and FCFF'!G15</f>
        <v>244953.2736</v>
      </c>
      <c r="D144" s="258">
        <f t="shared" ref="D144:G144" si="45">C150</f>
        <v>242112.5409</v>
      </c>
      <c r="E144" s="258">
        <f t="shared" si="45"/>
        <v>247713.9178</v>
      </c>
      <c r="F144" s="258">
        <f t="shared" si="45"/>
        <v>244073.179</v>
      </c>
      <c r="G144" s="258">
        <f t="shared" si="45"/>
        <v>240450.4355</v>
      </c>
      <c r="H144" s="258"/>
    </row>
    <row r="145">
      <c r="A145" s="258" t="s">
        <v>1391</v>
      </c>
      <c r="B145" s="258"/>
      <c r="C145" s="258">
        <f>SUM('Capital and FCFF'!H21:H22,'Capital and FCFF'!H50:H55,'Capital and FCFF'!H64:H69)</f>
        <v>136900.3661</v>
      </c>
      <c r="D145" s="258">
        <f>SUM('Capital and FCFF'!I21:I22,'Capital and FCFF'!I50:I55,'Capital and FCFF'!I64:I69)+C147*(Assumptions!$G$72/Assumptions!$G$67*MAX(0,MIN(1.5,Assumptions!$G$67)-0.5)+(1-Assumptions!$G$72)/Assumptions!$B$92*MAX(0,MIN(1.5,Assumptions!$B$92)-0.5))</f>
        <v>143554.5162</v>
      </c>
      <c r="E145" s="258">
        <f>SUM('Capital and FCFF'!J21:J22,'Capital and FCFF'!J50:J55,'Capital and FCFF'!J64:J69)+C147*(Assumptions!$G$72/Assumptions!$G$67*MAX(0,MIN(2.5,Assumptions!$G$67)-1.5)+(1-Assumptions!$G$72)/Assumptions!$B$92*MAX(0,MIN(2.5,Assumptions!$B$92)-1.5))+D147*(Assumptions!$G$72/Assumptions!$G$67*MAX(0,MIN(1.5,Assumptions!$G$67)-0.5)+(1-Assumptions!$G$72)/Assumptions!$B$92*MAX(0,MIN(1.5,Assumptions!$B$92)-0.5))</f>
        <v>148770.2738</v>
      </c>
      <c r="F145" s="258">
        <f>SUM('Capital and FCFF'!K21:K22,'Capital and FCFF'!K50:K55,'Capital and FCFF'!K64:K69)+C147*(Assumptions!$G$72/Assumptions!$G$67*MAX(0,MIN(3.5,Assumptions!$G$67)-2.5)+(1-Assumptions!$G$72)/Assumptions!$B$92*MAX(0,MIN(3.5,Assumptions!$B$92)-2.5))+D147*(Assumptions!$G$72/Assumptions!$G$67*MAX(0,MIN(2.5,Assumptions!$G$67)-1.5)+(1-Assumptions!$G$72)/Assumptions!$B$92*MAX(0,MIN(2.5,Assumptions!$B$92)-1.5))+E147*(Assumptions!$G$72/Assumptions!$G$67*MAX(0,MIN(1.5,Assumptions!$G$67)-0.5)+(1-Assumptions!$G$72)/Assumptions!$B$92*MAX(0,MIN(1.5,Assumptions!$B$92)-0.5))</f>
        <v>153149.9776</v>
      </c>
      <c r="G145" s="258">
        <f>SUM('Capital and FCFF'!L21:L22,'Capital and FCFF'!L50:L55,'Capital and FCFF'!L64:L69)+C147*(Assumptions!$G$72/Assumptions!$G$67*MAX(0,MIN(4.5,Assumptions!$G$67)-3.5)+(1-Assumptions!$G$72)/Assumptions!$B$92*MAX(0,MIN(4.5,Assumptions!$B$92)-3.5))+D147*(Assumptions!$G$72/Assumptions!$G$67*MAX(0,MIN(3.5,Assumptions!$G$67)-2.5)+(1-Assumptions!$G$72)/Assumptions!$B$92*MAX(0,MIN(3.5,Assumptions!$B$92)-2.5))+E147*(Assumptions!$G$72/Assumptions!$G$67*MAX(0,MIN(2.5,Assumptions!$G$67)-1.5)+(1-Assumptions!$G$72)/Assumptions!$B$92*MAX(0,MIN(2.5,Assumptions!$B$92)-1.5))+F147*(Assumptions!$G$72/Assumptions!$G$67*MAX(0,MIN(1.5,Assumptions!$G$67)-0.5)+(1-Assumptions!$G$72)/Assumptions!$B$92*MAX(0,MIN(1.5,Assumptions!$B$92)-0.5))</f>
        <v>156851.0361</v>
      </c>
      <c r="H145" s="258"/>
    </row>
    <row r="146">
      <c r="A146" s="258" t="s">
        <v>1392</v>
      </c>
      <c r="B146" s="258"/>
      <c r="C146" s="258">
        <f>'Capital and FCFF'!$H$92</f>
        <v>0.07</v>
      </c>
      <c r="D146" s="258">
        <f>'Capital and FCFF'!$H$92</f>
        <v>0.07</v>
      </c>
      <c r="E146" s="258">
        <f>'Capital and FCFF'!$H$92</f>
        <v>0.07</v>
      </c>
      <c r="F146" s="258">
        <f>'Capital and FCFF'!$H$92</f>
        <v>0.07</v>
      </c>
      <c r="G146" s="258">
        <f>'Capital and FCFF'!$H$92</f>
        <v>0.07</v>
      </c>
      <c r="H146" s="258"/>
    </row>
    <row r="147">
      <c r="A147" s="258" t="s">
        <v>1393</v>
      </c>
      <c r="B147" s="258"/>
      <c r="C147" s="258">
        <f t="shared" ref="C147:G147" si="46">MAX(0,(C142-(C143-C144)+C145)/(1-C146))</f>
        <v>207525.035</v>
      </c>
      <c r="D147" s="258">
        <f t="shared" si="46"/>
        <v>209925.6251</v>
      </c>
      <c r="E147" s="258">
        <f t="shared" si="46"/>
        <v>209205.582</v>
      </c>
      <c r="F147" s="258">
        <f t="shared" si="46"/>
        <v>206100.3733</v>
      </c>
      <c r="G147" s="258">
        <f t="shared" si="46"/>
        <v>200938.6019</v>
      </c>
      <c r="H147" s="258"/>
    </row>
    <row r="148">
      <c r="A148" s="258" t="s">
        <v>1394</v>
      </c>
      <c r="B148" s="258"/>
      <c r="C148" s="258">
        <f>MAX(0,2*(C147/Assumptions!$G$62-C144),C147*(1/Assumptions!$G$62+0.5)-C144)</f>
        <v>204684.3023</v>
      </c>
      <c r="D148" s="258">
        <f>MAX(0,2*(D147/Assumptions!$G$62-D144),D147*(1/Assumptions!$G$62+0.5)-D144)</f>
        <v>215527.0021</v>
      </c>
      <c r="E148" s="258">
        <f>MAX(0,2*(E147/Assumptions!$G$62-E144),E147*(1/Assumptions!$G$62+0.5)-E144)</f>
        <v>205564.8432</v>
      </c>
      <c r="F148" s="258">
        <f>MAX(0,2*(F147/Assumptions!$G$62-F144),F147*(1/Assumptions!$G$62+0.5)-F144)</f>
        <v>202477.6297</v>
      </c>
      <c r="G148" s="258">
        <f>MAX(0,2*(G147/Assumptions!$G$62-G144),G147*(1/Assumptions!$G$62+0.5)-G144)</f>
        <v>194916.5353</v>
      </c>
      <c r="H148" s="258"/>
    </row>
    <row r="149">
      <c r="A149" s="258" t="s">
        <v>1054</v>
      </c>
      <c r="B149" s="258"/>
      <c r="C149" s="258">
        <f t="shared" ref="C149:G149" si="47">C145+C147*C146</f>
        <v>151427.1185</v>
      </c>
      <c r="D149" s="258">
        <f t="shared" si="47"/>
        <v>158249.31</v>
      </c>
      <c r="E149" s="258">
        <f t="shared" si="47"/>
        <v>163414.6646</v>
      </c>
      <c r="F149" s="258">
        <f t="shared" si="47"/>
        <v>167577.0038</v>
      </c>
      <c r="G149" s="258">
        <f t="shared" si="47"/>
        <v>170916.7382</v>
      </c>
      <c r="H149" s="258"/>
    </row>
    <row r="150">
      <c r="A150" s="258" t="s">
        <v>1395</v>
      </c>
      <c r="B150" s="258"/>
      <c r="C150" s="258">
        <f t="shared" ref="C150:G150" si="48">C144+C148-C147</f>
        <v>242112.5409</v>
      </c>
      <c r="D150" s="258">
        <f t="shared" si="48"/>
        <v>247713.9178</v>
      </c>
      <c r="E150" s="258">
        <f t="shared" si="48"/>
        <v>244073.179</v>
      </c>
      <c r="F150" s="258">
        <f t="shared" si="48"/>
        <v>240450.4355</v>
      </c>
      <c r="G150" s="258">
        <f t="shared" si="48"/>
        <v>234428.3689</v>
      </c>
      <c r="H150" s="258"/>
    </row>
    <row r="151">
      <c r="A151" s="258" t="s">
        <v>1396</v>
      </c>
      <c r="B151" s="258"/>
      <c r="C151" s="258">
        <f t="shared" ref="C151:G151" si="49">C143+C148-C149</f>
        <v>1037228.439</v>
      </c>
      <c r="D151" s="258">
        <f t="shared" si="49"/>
        <v>1094506.131</v>
      </c>
      <c r="E151" s="258">
        <f t="shared" si="49"/>
        <v>1136656.31</v>
      </c>
      <c r="F151" s="258">
        <f t="shared" si="49"/>
        <v>1171556.936</v>
      </c>
      <c r="G151" s="258">
        <f t="shared" si="49"/>
        <v>1195556.733</v>
      </c>
      <c r="H151" s="258"/>
    </row>
    <row r="152">
      <c r="A152" s="258" t="s">
        <v>1397</v>
      </c>
      <c r="B152" s="258"/>
      <c r="C152" s="258">
        <f>C139*'Capital and FCFF'!$G$35/Transition!$B$9</f>
        <v>64094.31731</v>
      </c>
      <c r="D152" s="258">
        <f>D139*'Capital and FCFF'!$G$35/Transition!$B$9</f>
        <v>68440.798</v>
      </c>
      <c r="E152" s="258">
        <f>E139*'Capital and FCFF'!$G$35/Transition!$B$9</f>
        <v>72333.42875</v>
      </c>
      <c r="F152" s="258">
        <f>F139*'Capital and FCFF'!$G$35/Transition!$B$9</f>
        <v>75656.27753</v>
      </c>
      <c r="G152" s="258">
        <f>G139*'Capital and FCFF'!$G$35/Transition!$B$9</f>
        <v>78304.24725</v>
      </c>
      <c r="H152" s="258"/>
    </row>
    <row r="153">
      <c r="A153" s="258" t="s">
        <v>1398</v>
      </c>
      <c r="B153" s="258"/>
      <c r="C153" s="258">
        <f>C152-'Capital and FCFF'!$G$35</f>
        <v>4679.05659</v>
      </c>
      <c r="D153" s="258">
        <f t="shared" ref="D153:G153" si="50">D152-C152</f>
        <v>4346.480689</v>
      </c>
      <c r="E153" s="258">
        <f t="shared" si="50"/>
        <v>3892.630751</v>
      </c>
      <c r="F153" s="258">
        <f t="shared" si="50"/>
        <v>3322.848782</v>
      </c>
      <c r="G153" s="258">
        <f t="shared" si="50"/>
        <v>2647.969714</v>
      </c>
      <c r="H153" s="258"/>
    </row>
    <row r="154">
      <c r="A154" s="258" t="s">
        <v>1399</v>
      </c>
      <c r="B154" s="258"/>
      <c r="C154" s="258">
        <f>Transition!$B$55-C149/C139+IF(ISNUMBER(Assumptions!$B$148),(Assumptions!$B$148-(Transition!$B$55-$G$149/$G$139))*C140,0)</f>
        <v>0.2827023561</v>
      </c>
      <c r="D154" s="258">
        <f>Transition!$B$55-D149/D139+IF(ISNUMBER(Assumptions!$B$148),(Assumptions!$B$148-(Transition!$B$55-$G$149/$G$139))*D140,0)</f>
        <v>0.2858516718</v>
      </c>
      <c r="E154" s="258">
        <f>Transition!$B$55-E149/E139+IF(ISNUMBER(Assumptions!$B$148),(Assumptions!$B$148-(Transition!$B$55-$G$149/$G$139))*E140,0)</f>
        <v>0.2891674341</v>
      </c>
      <c r="F154" s="258">
        <f>Transition!$B$55-F149/F139+IF(ISNUMBER(Assumptions!$B$148),(Assumptions!$B$148-(Transition!$B$55-$G$149/$G$139))*F140,0)</f>
        <v>0.2919320272</v>
      </c>
      <c r="G154" s="258">
        <f>Transition!$B$55-G149/G139+IF(ISNUMBER(Assumptions!$B$148),(Assumptions!$B$148-(Transition!$B$55-$G$149/$G$139))*G140,0)</f>
        <v>0.2939489444</v>
      </c>
      <c r="H154" s="258"/>
    </row>
    <row r="155">
      <c r="A155" s="258" t="s">
        <v>375</v>
      </c>
      <c r="B155" s="258"/>
      <c r="C155" s="258">
        <f>C139*C154-'Capital and FCFF'!H25-MAX(0,C139*C154-'Capital and FCFF'!H25*Assumptions!$B$239)*C141</f>
        <v>235353.5517</v>
      </c>
      <c r="D155" s="258">
        <f>D139*D154-'Capital and FCFF'!I25-MAX(0,D139*D154-'Capital and FCFF'!I25*Assumptions!$B$239)*D141</f>
        <v>252276.1532</v>
      </c>
      <c r="E155" s="258">
        <f>E139*E154-'Capital and FCFF'!J25-MAX(0,E139*E154-'Capital and FCFF'!J25*Assumptions!$B$239)*E141</f>
        <v>267745.0033</v>
      </c>
      <c r="F155" s="258">
        <f>F139*F154-'Capital and FCFF'!K25-MAX(0,F139*F154-'Capital and FCFF'!K25*Assumptions!$B$239)*F141</f>
        <v>280630.8755</v>
      </c>
      <c r="G155" s="258">
        <f>G139*G154-'Capital and FCFF'!L25-MAX(0,G139*G154-'Capital and FCFF'!L25*Assumptions!$B$239)*G141</f>
        <v>290272.2983</v>
      </c>
      <c r="H155" s="258"/>
    </row>
    <row r="156">
      <c r="A156" s="258" t="s">
        <v>630</v>
      </c>
      <c r="B156" s="258"/>
      <c r="C156" s="258">
        <f>C155+C149+'Capital and FCFF'!H25-C148-C153</f>
        <v>177916.3113</v>
      </c>
      <c r="D156" s="258">
        <f>D155+D149+'Capital and FCFF'!I25-D148-D153</f>
        <v>191150.9804</v>
      </c>
      <c r="E156" s="258">
        <f>E155+E149+'Capital and FCFF'!J25-E148-E153</f>
        <v>222201.194</v>
      </c>
      <c r="F156" s="258">
        <f>F155+F149+'Capital and FCFF'!K25-F148-F153</f>
        <v>242906.4008</v>
      </c>
      <c r="G156" s="258">
        <f>G155+G149+'Capital and FCFF'!L25-G148-G153</f>
        <v>264123.5315</v>
      </c>
      <c r="H156" s="258"/>
    </row>
    <row r="157">
      <c r="A157" s="258" t="s">
        <v>1333</v>
      </c>
      <c r="B157" s="258"/>
      <c r="C157" s="258">
        <f t="shared" ref="C157:G157" si="51">(C143+C151+2*C152-C153)/2</f>
        <v>1072354.636</v>
      </c>
      <c r="D157" s="258">
        <f t="shared" si="51"/>
        <v>1132134.843</v>
      </c>
      <c r="E157" s="258">
        <f t="shared" si="51"/>
        <v>1185968.334</v>
      </c>
      <c r="F157" s="258">
        <f t="shared" si="51"/>
        <v>1228101.476</v>
      </c>
      <c r="G157" s="258">
        <f t="shared" si="51"/>
        <v>1260537.097</v>
      </c>
      <c r="H157" s="258"/>
    </row>
    <row r="158">
      <c r="A158" s="258" t="s">
        <v>1090</v>
      </c>
      <c r="B158" s="258"/>
      <c r="C158" s="258">
        <f t="shared" ref="C158:G158" si="52">C155/C157</f>
        <v>0.2194736179</v>
      </c>
      <c r="D158" s="258">
        <f t="shared" si="52"/>
        <v>0.222832249</v>
      </c>
      <c r="E158" s="258">
        <f t="shared" si="52"/>
        <v>0.225760668</v>
      </c>
      <c r="F158" s="258">
        <f t="shared" si="52"/>
        <v>0.2285078888</v>
      </c>
      <c r="G158" s="258">
        <f t="shared" si="52"/>
        <v>0.2302766804</v>
      </c>
      <c r="H158" s="258"/>
    </row>
    <row r="159">
      <c r="A159" s="258" t="s">
        <v>1400</v>
      </c>
      <c r="B159" s="258"/>
      <c r="C159" s="258"/>
      <c r="D159" s="258"/>
      <c r="E159" s="258"/>
      <c r="F159" s="258"/>
      <c r="G159" s="258">
        <f>G139*G154*(1-G141)*(1+$B$136)</f>
        <v>300948.2937</v>
      </c>
      <c r="H159" s="258"/>
    </row>
    <row r="160">
      <c r="A160" s="258" t="s">
        <v>1401</v>
      </c>
      <c r="B160" s="258"/>
      <c r="C160" s="258"/>
      <c r="D160" s="258"/>
      <c r="E160" s="258"/>
      <c r="F160" s="258"/>
      <c r="G160" s="258">
        <f>G139*G154*(1-G141)/(G151+G152)</f>
        <v>0.2282598358</v>
      </c>
      <c r="H160" s="258"/>
    </row>
    <row r="161">
      <c r="A161" s="258"/>
      <c r="B161" s="258"/>
      <c r="C161" s="258"/>
      <c r="D161" s="258"/>
      <c r="E161" s="258"/>
      <c r="F161" s="258"/>
      <c r="G161" s="258"/>
      <c r="H161" s="258"/>
    </row>
    <row r="162">
      <c r="A162" s="258"/>
      <c r="B162" s="258"/>
      <c r="C162" s="258"/>
      <c r="D162" s="258"/>
      <c r="E162" s="258"/>
      <c r="F162" s="258"/>
      <c r="G162" s="258"/>
      <c r="H162" s="258"/>
    </row>
    <row r="163">
      <c r="A163" s="258"/>
      <c r="B163" s="258"/>
      <c r="C163" s="258"/>
      <c r="D163" s="258"/>
      <c r="E163" s="258"/>
      <c r="F163" s="258"/>
      <c r="G163" s="258"/>
      <c r="H163" s="258"/>
    </row>
    <row r="164">
      <c r="A164" s="258"/>
      <c r="B164" s="258"/>
      <c r="C164" s="258"/>
      <c r="D164" s="258"/>
      <c r="E164" s="258"/>
      <c r="F164" s="258"/>
      <c r="G164" s="258"/>
      <c r="H164" s="258"/>
    </row>
    <row r="165">
      <c r="A165" s="258"/>
      <c r="B165" s="258"/>
      <c r="C165" s="258"/>
      <c r="D165" s="258"/>
      <c r="E165" s="258"/>
      <c r="F165" s="258"/>
      <c r="G165" s="258"/>
      <c r="H165" s="258"/>
    </row>
    <row r="166">
      <c r="A166" s="258"/>
      <c r="B166" s="258"/>
      <c r="C166" s="258"/>
      <c r="D166" s="258"/>
      <c r="E166" s="258"/>
      <c r="F166" s="258"/>
      <c r="G166" s="258"/>
      <c r="H166" s="258"/>
    </row>
    <row r="167">
      <c r="A167" s="258"/>
      <c r="B167" s="258"/>
      <c r="C167" s="258"/>
      <c r="D167" s="258"/>
      <c r="E167" s="258"/>
      <c r="F167" s="258"/>
      <c r="G167" s="258"/>
      <c r="H167" s="258"/>
    </row>
    <row r="168">
      <c r="A168" s="258" t="s">
        <v>1405</v>
      </c>
      <c r="B168" s="258">
        <f>$A21</f>
        <v>0.04</v>
      </c>
      <c r="C168" s="258"/>
      <c r="D168" s="258"/>
      <c r="E168" s="258"/>
      <c r="F168" s="258"/>
      <c r="G168" s="258"/>
      <c r="H168" s="258"/>
    </row>
    <row r="169">
      <c r="A169" s="258" t="s">
        <v>1386</v>
      </c>
      <c r="B169" s="258"/>
      <c r="C169" s="258">
        <v>2032.0</v>
      </c>
      <c r="D169" s="258">
        <v>2033.0</v>
      </c>
      <c r="E169" s="258">
        <v>2034.0</v>
      </c>
      <c r="F169" s="258">
        <v>2035.0</v>
      </c>
      <c r="G169" s="258">
        <v>2036.0</v>
      </c>
      <c r="H169" s="258"/>
    </row>
    <row r="170">
      <c r="A170" s="258" t="s">
        <v>624</v>
      </c>
      <c r="B170" s="258"/>
      <c r="C170" s="258">
        <f>Transition!$B$8+($B$168-Transition!$B$8)*C172</f>
        <v>0.07975176399</v>
      </c>
      <c r="D170" s="258">
        <f>Transition!$B$8+($B$168-Transition!$B$8)*D172</f>
        <v>0.06981382299</v>
      </c>
      <c r="E170" s="258">
        <f>Transition!$B$8+($B$168-Transition!$B$8)*E172</f>
        <v>0.059875882</v>
      </c>
      <c r="F170" s="258">
        <f>Transition!$B$8+($B$168-Transition!$B$8)*F172</f>
        <v>0.049937941</v>
      </c>
      <c r="G170" s="258">
        <f>Transition!$B$8+($B$168-Transition!$B$8)*G172</f>
        <v>0.04</v>
      </c>
      <c r="H170" s="258"/>
    </row>
    <row r="171">
      <c r="A171" s="258" t="s">
        <v>625</v>
      </c>
      <c r="B171" s="258">
        <f>Transition!B9</f>
        <v>950091.0513</v>
      </c>
      <c r="C171" s="258">
        <f t="shared" ref="C171:G171" si="53">B171*(1+C170)</f>
        <v>1025862.489</v>
      </c>
      <c r="D171" s="258">
        <f t="shared" si="53"/>
        <v>1097481.871</v>
      </c>
      <c r="E171" s="258">
        <f t="shared" si="53"/>
        <v>1163194.566</v>
      </c>
      <c r="F171" s="258">
        <f t="shared" si="53"/>
        <v>1221282.107</v>
      </c>
      <c r="G171" s="258">
        <f t="shared" si="53"/>
        <v>1270133.392</v>
      </c>
      <c r="H171" s="258"/>
    </row>
    <row r="172">
      <c r="A172" s="258" t="s">
        <v>1387</v>
      </c>
      <c r="B172" s="258"/>
      <c r="C172" s="258">
        <v>0.2</v>
      </c>
      <c r="D172" s="258">
        <v>0.4</v>
      </c>
      <c r="E172" s="258">
        <v>0.6</v>
      </c>
      <c r="F172" s="258">
        <v>0.8</v>
      </c>
      <c r="G172" s="258">
        <v>1.0</v>
      </c>
      <c r="H172" s="258"/>
    </row>
    <row r="173">
      <c r="A173" s="258" t="s">
        <v>930</v>
      </c>
      <c r="B173" s="258"/>
      <c r="C173" s="258">
        <f>Transition!$B$12+(Assumptions!$B$149-Transition!$B$12)*C172</f>
        <v>0.186</v>
      </c>
      <c r="D173" s="258">
        <f>Transition!$B$12+(Assumptions!$B$149-Transition!$B$12)*D172</f>
        <v>0.192</v>
      </c>
      <c r="E173" s="258">
        <f>Transition!$B$12+(Assumptions!$B$149-Transition!$B$12)*E172</f>
        <v>0.198</v>
      </c>
      <c r="F173" s="258">
        <f>Transition!$B$12+(Assumptions!$B$149-Transition!$B$12)*F172</f>
        <v>0.204</v>
      </c>
      <c r="G173" s="258">
        <f>Transition!$B$12+(Assumptions!$B$149-Transition!$B$12)*G172</f>
        <v>0.21</v>
      </c>
      <c r="H173" s="258"/>
    </row>
    <row r="174">
      <c r="A174" s="258" t="s">
        <v>1388</v>
      </c>
      <c r="B174" s="258"/>
      <c r="C174" s="258">
        <f>C171*(Transition!$B$50+(Transition!$B$48*Assumptions!$B$192-Transition!$B$50)*C172)</f>
        <v>795852.9688</v>
      </c>
      <c r="D174" s="258">
        <f>D171*(Transition!$B$50+(Transition!$B$48*Assumptions!$B$192-Transition!$B$50)*D172)</f>
        <v>849164.6877</v>
      </c>
      <c r="E174" s="258">
        <f>E171*(Transition!$B$50+(Transition!$B$48*Assumptions!$B$192-Transition!$B$50)*E172)</f>
        <v>897624.6431</v>
      </c>
      <c r="F174" s="258">
        <f>F171*(Transition!$B$50+(Transition!$B$48*Assumptions!$B$192-Transition!$B$50)*F172)</f>
        <v>939946.5618</v>
      </c>
      <c r="G174" s="258">
        <f>G171*(Transition!$B$50+(Transition!$B$48*Assumptions!$B$192-Transition!$B$50)*G172)</f>
        <v>974940.6721</v>
      </c>
      <c r="H174" s="258"/>
    </row>
    <row r="175">
      <c r="A175" s="258" t="s">
        <v>1389</v>
      </c>
      <c r="B175" s="258"/>
      <c r="C175" s="258">
        <f>'Capital and FCFF'!G26</f>
        <v>983971.2555</v>
      </c>
      <c r="D175" s="258">
        <f t="shared" ref="D175:G175" si="54">C183</f>
        <v>1038890.15</v>
      </c>
      <c r="E175" s="258">
        <f t="shared" si="54"/>
        <v>1100335.515</v>
      </c>
      <c r="F175" s="258">
        <f t="shared" si="54"/>
        <v>1145515.065</v>
      </c>
      <c r="G175" s="258">
        <f t="shared" si="54"/>
        <v>1186205.828</v>
      </c>
      <c r="H175" s="258"/>
    </row>
    <row r="176">
      <c r="A176" s="258" t="s">
        <v>1390</v>
      </c>
      <c r="B176" s="258"/>
      <c r="C176" s="258">
        <f>'Capital and FCFF'!G15</f>
        <v>244953.2736</v>
      </c>
      <c r="D176" s="258">
        <f t="shared" ref="D176:G176" si="55">C182</f>
        <v>243037.181</v>
      </c>
      <c r="E176" s="258">
        <f t="shared" si="55"/>
        <v>251170.8274</v>
      </c>
      <c r="F176" s="258">
        <f t="shared" si="55"/>
        <v>247890.4216</v>
      </c>
      <c r="G176" s="258">
        <f t="shared" si="55"/>
        <v>246259.2664</v>
      </c>
      <c r="H176" s="258"/>
    </row>
    <row r="177">
      <c r="A177" s="258" t="s">
        <v>1391</v>
      </c>
      <c r="B177" s="258"/>
      <c r="C177" s="258">
        <f>SUM('Capital and FCFF'!H21:H22,'Capital and FCFF'!H50:H55,'Capital and FCFF'!H64:H69)</f>
        <v>136900.3661</v>
      </c>
      <c r="D177" s="258">
        <f>SUM('Capital and FCFF'!I21:I22,'Capital and FCFF'!I50:I55,'Capital and FCFF'!I64:I69)+C179*(Assumptions!$G$72/Assumptions!$G$67*MAX(0,MIN(1.5,Assumptions!$G$67)-0.5)+(1-Assumptions!$G$72)/Assumptions!$B$92*MAX(0,MIN(1.5,Assumptions!$B$92)-0.5))</f>
        <v>143665.473</v>
      </c>
      <c r="E177" s="258">
        <f>SUM('Capital and FCFF'!J21:J22,'Capital and FCFF'!J50:J55,'Capital and FCFF'!J64:J69)+C179*(Assumptions!$G$72/Assumptions!$G$67*MAX(0,MIN(2.5,Assumptions!$G$67)-1.5)+(1-Assumptions!$G$72)/Assumptions!$B$92*MAX(0,MIN(2.5,Assumptions!$B$92)-1.5))+D179*(Assumptions!$G$72/Assumptions!$G$67*MAX(0,MIN(1.5,Assumptions!$G$67)-0.5)+(1-Assumptions!$G$72)/Assumptions!$B$92*MAX(0,MIN(1.5,Assumptions!$B$92)-0.5))</f>
        <v>149144.1236</v>
      </c>
      <c r="F177" s="258">
        <f>SUM('Capital and FCFF'!K21:K22,'Capital and FCFF'!K50:K55,'Capital and FCFF'!K64:K69)+C179*(Assumptions!$G$72/Assumptions!$G$67*MAX(0,MIN(3.5,Assumptions!$G$67)-2.5)+(1-Assumptions!$G$72)/Assumptions!$B$92*MAX(0,MIN(3.5,Assumptions!$B$92)-2.5))+D179*(Assumptions!$G$72/Assumptions!$G$67*MAX(0,MIN(2.5,Assumptions!$G$67)-1.5)+(1-Assumptions!$G$72)/Assumptions!$B$92*MAX(0,MIN(2.5,Assumptions!$B$92)-1.5))+E179*(Assumptions!$G$72/Assumptions!$G$67*MAX(0,MIN(1.5,Assumptions!$G$67)-0.5)+(1-Assumptions!$G$72)/Assumptions!$B$92*MAX(0,MIN(1.5,Assumptions!$B$92)-0.5))</f>
        <v>153981.8966</v>
      </c>
      <c r="G177" s="258">
        <f>SUM('Capital and FCFF'!L21:L22,'Capital and FCFF'!L50:L55,'Capital and FCFF'!L64:L69)+C179*(Assumptions!$G$72/Assumptions!$G$67*MAX(0,MIN(4.5,Assumptions!$G$67)-3.5)+(1-Assumptions!$G$72)/Assumptions!$B$92*MAX(0,MIN(4.5,Assumptions!$B$92)-3.5))+D179*(Assumptions!$G$72/Assumptions!$G$67*MAX(0,MIN(3.5,Assumptions!$G$67)-2.5)+(1-Assumptions!$G$72)/Assumptions!$B$92*MAX(0,MIN(3.5,Assumptions!$B$92)-2.5))+E179*(Assumptions!$G$72/Assumptions!$G$67*MAX(0,MIN(2.5,Assumptions!$G$67)-1.5)+(1-Assumptions!$G$72)/Assumptions!$B$92*MAX(0,MIN(2.5,Assumptions!$B$92)-1.5))+F179*(Assumptions!$G$72/Assumptions!$G$67*MAX(0,MIN(1.5,Assumptions!$G$67)-0.5)+(1-Assumptions!$G$72)/Assumptions!$B$92*MAX(0,MIN(1.5,Assumptions!$B$92)-0.5))</f>
        <v>158380.0147</v>
      </c>
      <c r="H177" s="258"/>
    </row>
    <row r="178">
      <c r="A178" s="258" t="s">
        <v>1392</v>
      </c>
      <c r="B178" s="258"/>
      <c r="C178" s="258">
        <f>'Capital and FCFF'!$H$92</f>
        <v>0.07</v>
      </c>
      <c r="D178" s="258">
        <f>'Capital and FCFF'!$H$92</f>
        <v>0.07</v>
      </c>
      <c r="E178" s="258">
        <f>'Capital and FCFF'!$H$92</f>
        <v>0.07</v>
      </c>
      <c r="F178" s="258">
        <f>'Capital and FCFF'!$H$92</f>
        <v>0.07</v>
      </c>
      <c r="G178" s="258">
        <f>'Capital and FCFF'!$H$92</f>
        <v>0.07</v>
      </c>
      <c r="H178" s="258"/>
    </row>
    <row r="179">
      <c r="A179" s="258" t="s">
        <v>1393</v>
      </c>
      <c r="B179" s="258"/>
      <c r="C179" s="258">
        <f t="shared" ref="C179:G179" si="56">MAX(0,(C174-(C175-C176)+C177)/(1-C178))</f>
        <v>208317.5838</v>
      </c>
      <c r="D179" s="258">
        <f t="shared" si="56"/>
        <v>211803.4322</v>
      </c>
      <c r="E179" s="258">
        <f t="shared" si="56"/>
        <v>212477.5043</v>
      </c>
      <c r="F179" s="258">
        <f t="shared" si="56"/>
        <v>211079.3712</v>
      </c>
      <c r="G179" s="258">
        <f t="shared" si="56"/>
        <v>207929.1668</v>
      </c>
      <c r="H179" s="258"/>
    </row>
    <row r="180">
      <c r="A180" s="258" t="s">
        <v>1394</v>
      </c>
      <c r="B180" s="258"/>
      <c r="C180" s="258">
        <f>MAX(0,2*(C179/Assumptions!$G$62-C176),C179*(1/Assumptions!$G$62+0.5)-C176)</f>
        <v>206401.4912</v>
      </c>
      <c r="D180" s="258">
        <f>MAX(0,2*(D179/Assumptions!$G$62-D176),D179*(1/Assumptions!$G$62+0.5)-D176)</f>
        <v>219937.0786</v>
      </c>
      <c r="E180" s="258">
        <f>MAX(0,2*(E179/Assumptions!$G$62-E176),E179*(1/Assumptions!$G$62+0.5)-E176)</f>
        <v>209197.0985</v>
      </c>
      <c r="F180" s="258">
        <f>MAX(0,2*(F179/Assumptions!$G$62-F176),F179*(1/Assumptions!$G$62+0.5)-F176)</f>
        <v>209448.216</v>
      </c>
      <c r="G180" s="258">
        <f>MAX(0,2*(G179/Assumptions!$G$62-G176),G179*(1/Assumptions!$G$62+0.5)-G176)</f>
        <v>204253.9283</v>
      </c>
      <c r="H180" s="258"/>
    </row>
    <row r="181">
      <c r="A181" s="258" t="s">
        <v>1054</v>
      </c>
      <c r="B181" s="258"/>
      <c r="C181" s="258">
        <f t="shared" ref="C181:G181" si="57">C177+C179*C178</f>
        <v>151482.5969</v>
      </c>
      <c r="D181" s="258">
        <f t="shared" si="57"/>
        <v>158491.7133</v>
      </c>
      <c r="E181" s="258">
        <f t="shared" si="57"/>
        <v>164017.5489</v>
      </c>
      <c r="F181" s="258">
        <f t="shared" si="57"/>
        <v>168757.4525</v>
      </c>
      <c r="G181" s="258">
        <f t="shared" si="57"/>
        <v>172935.0564</v>
      </c>
      <c r="H181" s="258"/>
    </row>
    <row r="182">
      <c r="A182" s="258" t="s">
        <v>1395</v>
      </c>
      <c r="B182" s="258"/>
      <c r="C182" s="258">
        <f t="shared" ref="C182:G182" si="58">C176+C180-C179</f>
        <v>243037.181</v>
      </c>
      <c r="D182" s="258">
        <f t="shared" si="58"/>
        <v>251170.8274</v>
      </c>
      <c r="E182" s="258">
        <f t="shared" si="58"/>
        <v>247890.4216</v>
      </c>
      <c r="F182" s="258">
        <f t="shared" si="58"/>
        <v>246259.2664</v>
      </c>
      <c r="G182" s="258">
        <f t="shared" si="58"/>
        <v>242584.0279</v>
      </c>
      <c r="H182" s="258"/>
    </row>
    <row r="183">
      <c r="A183" s="258" t="s">
        <v>1396</v>
      </c>
      <c r="B183" s="258"/>
      <c r="C183" s="258">
        <f t="shared" ref="C183:G183" si="59">C175+C180-C181</f>
        <v>1038890.15</v>
      </c>
      <c r="D183" s="258">
        <f t="shared" si="59"/>
        <v>1100335.515</v>
      </c>
      <c r="E183" s="258">
        <f t="shared" si="59"/>
        <v>1145515.065</v>
      </c>
      <c r="F183" s="258">
        <f t="shared" si="59"/>
        <v>1186205.828</v>
      </c>
      <c r="G183" s="258">
        <f t="shared" si="59"/>
        <v>1217524.7</v>
      </c>
      <c r="H183" s="258"/>
    </row>
    <row r="184">
      <c r="A184" s="258" t="s">
        <v>1397</v>
      </c>
      <c r="B184" s="258"/>
      <c r="C184" s="258">
        <f>C171*'Capital and FCFF'!$G$35/Transition!$B$9</f>
        <v>64153.73257</v>
      </c>
      <c r="D184" s="258">
        <f>D171*'Capital and FCFF'!$G$35/Transition!$B$9</f>
        <v>68632.5499</v>
      </c>
      <c r="E184" s="258">
        <f>E171*'Capital and FCFF'!$G$35/Transition!$B$9</f>
        <v>72741.98436</v>
      </c>
      <c r="F184" s="258">
        <f>F171*'Capital and FCFF'!$G$35/Transition!$B$9</f>
        <v>76374.56928</v>
      </c>
      <c r="G184" s="258">
        <f>G171*'Capital and FCFF'!$G$35/Transition!$B$9</f>
        <v>79429.55205</v>
      </c>
      <c r="H184" s="258"/>
    </row>
    <row r="185">
      <c r="A185" s="258" t="s">
        <v>1398</v>
      </c>
      <c r="B185" s="258"/>
      <c r="C185" s="258">
        <f>C184-'Capital and FCFF'!$G$35</f>
        <v>4738.471851</v>
      </c>
      <c r="D185" s="258">
        <f t="shared" ref="D185:G185" si="60">D184-C184</f>
        <v>4478.81733</v>
      </c>
      <c r="E185" s="258">
        <f t="shared" si="60"/>
        <v>4109.434459</v>
      </c>
      <c r="F185" s="258">
        <f t="shared" si="60"/>
        <v>3632.584923</v>
      </c>
      <c r="G185" s="258">
        <f t="shared" si="60"/>
        <v>3054.982771</v>
      </c>
      <c r="H185" s="258"/>
    </row>
    <row r="186">
      <c r="A186" s="258" t="s">
        <v>1399</v>
      </c>
      <c r="B186" s="258"/>
      <c r="C186" s="258">
        <f>Transition!$B$55-C181/C171+IF(ISNUMBER(Assumptions!$B$148),(Assumptions!$B$148-(Transition!$B$55-$G$181/$G$171))*C172,0)</f>
        <v>0.28278511</v>
      </c>
      <c r="D186" s="258">
        <f>Transition!$B$55-D181/D171+IF(ISNUMBER(Assumptions!$B$148),(Assumptions!$B$148-(Transition!$B$55-$G$181/$G$171))*D172,0)</f>
        <v>0.2860347881</v>
      </c>
      <c r="E186" s="258">
        <f>Transition!$B$55-E181/E171+IF(ISNUMBER(Assumptions!$B$148),(Assumptions!$B$148-(Transition!$B$55-$G$181/$G$171))*E172,0)</f>
        <v>0.2894426406</v>
      </c>
      <c r="F186" s="258">
        <f>Transition!$B$55-F181/F171+IF(ISNUMBER(Assumptions!$B$148),(Assumptions!$B$148-(Transition!$B$55-$G$181/$G$171))*F172,0)</f>
        <v>0.2922681917</v>
      </c>
      <c r="G186" s="258">
        <f>Transition!$B$55-G181/G171+IF(ISNUMBER(Assumptions!$B$148),(Assumptions!$B$148-(Transition!$B$55-$G$181/$G$171))*G172,0)</f>
        <v>0.2942937225</v>
      </c>
      <c r="H186" s="258"/>
    </row>
    <row r="187">
      <c r="A187" s="258" t="s">
        <v>375</v>
      </c>
      <c r="B187" s="258"/>
      <c r="C187" s="258">
        <f>C171*C186-'Capital and FCFF'!H25-MAX(0,C171*C186-'Capital and FCFF'!H25*Assumptions!$B$239)*C173</f>
        <v>235641.2902</v>
      </c>
      <c r="D187" s="258">
        <f>D171*D186-'Capital and FCFF'!I25-MAX(0,D171*D186-'Capital and FCFF'!I25*Assumptions!$B$239)*D173</f>
        <v>253146.7395</v>
      </c>
      <c r="E187" s="258">
        <f>E171*E186-'Capital and FCFF'!J25-MAX(0,E171*E186-'Capital and FCFF'!J25*Assumptions!$B$239)*E173</f>
        <v>269516.8415</v>
      </c>
      <c r="F187" s="258">
        <f>F171*F186-'Capital and FCFF'!K25-MAX(0,F171*F186-'Capital and FCFF'!K25*Assumptions!$B$239)*F173</f>
        <v>283626.7629</v>
      </c>
      <c r="G187" s="258">
        <f>G171*G186-'Capital and FCFF'!L25-MAX(0,G171*G186-'Capital and FCFF'!L25*Assumptions!$B$239)*G173</f>
        <v>294796.9043</v>
      </c>
      <c r="H187" s="258"/>
    </row>
    <row r="188">
      <c r="A188" s="258" t="s">
        <v>630</v>
      </c>
      <c r="B188" s="258"/>
      <c r="C188" s="258">
        <f>C187+C181+'Capital and FCFF'!H25-C180-C185</f>
        <v>176482.9241</v>
      </c>
      <c r="D188" s="258">
        <f>D187+D181+'Capital and FCFF'!I25-D180-D185</f>
        <v>187721.5568</v>
      </c>
      <c r="E188" s="258">
        <f>E187+E181+'Capital and FCFF'!J25-E180-E185</f>
        <v>220726.8575</v>
      </c>
      <c r="F188" s="258">
        <f>F187+F181+'Capital and FCFF'!K25-F180-F185</f>
        <v>239802.4145</v>
      </c>
      <c r="G188" s="258">
        <f>G187+G181+'Capital and FCFF'!L25-G180-G185</f>
        <v>260922.0496</v>
      </c>
      <c r="H188" s="258"/>
    </row>
    <row r="189">
      <c r="A189" s="258" t="s">
        <v>1333</v>
      </c>
      <c r="B189" s="258"/>
      <c r="C189" s="258">
        <f t="shared" ref="C189:G189" si="61">(C175+C183+2*C184-C185)/2</f>
        <v>1073215.199</v>
      </c>
      <c r="D189" s="258">
        <f t="shared" si="61"/>
        <v>1136005.974</v>
      </c>
      <c r="E189" s="258">
        <f t="shared" si="61"/>
        <v>1193612.557</v>
      </c>
      <c r="F189" s="258">
        <f t="shared" si="61"/>
        <v>1240418.723</v>
      </c>
      <c r="G189" s="258">
        <f t="shared" si="61"/>
        <v>1279767.325</v>
      </c>
      <c r="H189" s="258"/>
    </row>
    <row r="190">
      <c r="A190" s="258" t="s">
        <v>1090</v>
      </c>
      <c r="B190" s="258"/>
      <c r="C190" s="258">
        <f t="shared" ref="C190:G190" si="62">C187/C189</f>
        <v>0.2195657408</v>
      </c>
      <c r="D190" s="258">
        <f t="shared" si="62"/>
        <v>0.2228392678</v>
      </c>
      <c r="E190" s="258">
        <f t="shared" si="62"/>
        <v>0.2257992679</v>
      </c>
      <c r="F190" s="258">
        <f t="shared" si="62"/>
        <v>0.2286540485</v>
      </c>
      <c r="G190" s="258">
        <f t="shared" si="62"/>
        <v>0.2303519543</v>
      </c>
      <c r="H190" s="258"/>
    </row>
    <row r="191">
      <c r="A191" s="258" t="s">
        <v>1400</v>
      </c>
      <c r="B191" s="258"/>
      <c r="C191" s="258"/>
      <c r="D191" s="258"/>
      <c r="E191" s="258"/>
      <c r="F191" s="258"/>
      <c r="G191" s="258">
        <f>G171*G186*(1-G173)*(1+$B$168)</f>
        <v>307107.7404</v>
      </c>
      <c r="H191" s="258"/>
    </row>
    <row r="192">
      <c r="A192" s="258" t="s">
        <v>1401</v>
      </c>
      <c r="B192" s="258"/>
      <c r="C192" s="258"/>
      <c r="D192" s="258"/>
      <c r="E192" s="258"/>
      <c r="F192" s="258"/>
      <c r="G192" s="258">
        <f>G171*G186*(1-G173)/(G183+G184)</f>
        <v>0.2276841329</v>
      </c>
      <c r="H192" s="258"/>
    </row>
    <row r="193">
      <c r="A193" s="258"/>
      <c r="B193" s="258"/>
      <c r="C193" s="258"/>
      <c r="D193" s="258"/>
      <c r="E193" s="258"/>
      <c r="F193" s="258"/>
      <c r="G193" s="258"/>
      <c r="H193" s="258"/>
    </row>
    <row r="194">
      <c r="A194" s="258"/>
      <c r="B194" s="258"/>
      <c r="C194" s="258"/>
      <c r="D194" s="258"/>
      <c r="E194" s="258"/>
      <c r="F194" s="258"/>
      <c r="G194" s="258"/>
      <c r="H194" s="258"/>
    </row>
    <row r="195">
      <c r="A195" s="258"/>
      <c r="B195" s="258"/>
      <c r="C195" s="258"/>
      <c r="D195" s="258"/>
      <c r="E195" s="258"/>
      <c r="F195" s="258"/>
      <c r="G195" s="258"/>
      <c r="H195" s="258"/>
    </row>
    <row r="196">
      <c r="A196" s="258"/>
      <c r="B196" s="258"/>
      <c r="C196" s="258"/>
      <c r="D196" s="258"/>
      <c r="E196" s="258"/>
      <c r="F196" s="258"/>
      <c r="G196" s="258"/>
      <c r="H196" s="258"/>
    </row>
    <row r="197">
      <c r="A197" s="258"/>
      <c r="B197" s="258"/>
      <c r="C197" s="258"/>
      <c r="D197" s="258"/>
      <c r="E197" s="258"/>
      <c r="F197" s="258"/>
      <c r="G197" s="258"/>
      <c r="H197" s="258"/>
    </row>
    <row r="198">
      <c r="A198" s="258"/>
      <c r="B198" s="258"/>
      <c r="C198" s="258"/>
      <c r="D198" s="258"/>
      <c r="E198" s="258"/>
      <c r="F198" s="258"/>
      <c r="G198" s="258"/>
      <c r="H198" s="258"/>
    </row>
    <row r="199">
      <c r="A199" s="258"/>
      <c r="B199" s="258"/>
      <c r="C199" s="258"/>
      <c r="D199" s="258"/>
      <c r="E199" s="258"/>
      <c r="F199" s="258"/>
      <c r="G199" s="258"/>
      <c r="H199" s="258"/>
    </row>
    <row r="200">
      <c r="A200" s="258"/>
      <c r="B200" s="258"/>
      <c r="C200" s="258"/>
      <c r="D200" s="258"/>
      <c r="E200" s="258"/>
      <c r="F200" s="258"/>
      <c r="G200" s="258"/>
      <c r="H200" s="258"/>
    </row>
    <row r="201">
      <c r="A201" s="258"/>
      <c r="B201" s="258"/>
      <c r="C201" s="258"/>
      <c r="D201" s="258"/>
      <c r="E201" s="258"/>
      <c r="F201" s="258"/>
      <c r="G201" s="258"/>
      <c r="H201" s="258"/>
    </row>
    <row r="202">
      <c r="A202" s="258"/>
      <c r="B202" s="258"/>
      <c r="C202" s="258"/>
      <c r="D202" s="258"/>
      <c r="E202" s="258"/>
      <c r="F202" s="258"/>
      <c r="G202" s="258"/>
      <c r="H202" s="258"/>
    </row>
    <row r="203">
      <c r="A203" s="258"/>
      <c r="B203" s="258"/>
      <c r="C203" s="258"/>
      <c r="D203" s="258"/>
      <c r="E203" s="258"/>
      <c r="F203" s="258"/>
      <c r="G203" s="258"/>
      <c r="H203" s="258"/>
    </row>
    <row r="204">
      <c r="A204" s="258"/>
      <c r="B204" s="258"/>
      <c r="C204" s="258"/>
      <c r="D204" s="258"/>
      <c r="E204" s="258"/>
      <c r="F204" s="258"/>
      <c r="G204" s="258"/>
      <c r="H204" s="258"/>
    </row>
    <row r="205">
      <c r="A205" s="258"/>
      <c r="B205" s="258"/>
      <c r="C205" s="258"/>
      <c r="D205" s="258"/>
      <c r="E205" s="258"/>
      <c r="F205" s="258"/>
      <c r="G205" s="258"/>
      <c r="H205" s="258"/>
    </row>
    <row r="206">
      <c r="A206" s="258"/>
      <c r="B206" s="258"/>
      <c r="C206" s="258"/>
      <c r="D206" s="258"/>
      <c r="E206" s="258"/>
      <c r="F206" s="258"/>
      <c r="G206" s="258"/>
      <c r="H206" s="258"/>
    </row>
    <row r="207">
      <c r="A207" s="258"/>
      <c r="B207" s="258"/>
      <c r="C207" s="258"/>
      <c r="D207" s="258"/>
      <c r="E207" s="258"/>
      <c r="F207" s="258"/>
      <c r="G207" s="258"/>
      <c r="H207" s="258"/>
    </row>
    <row r="208">
      <c r="A208" s="258"/>
      <c r="B208" s="258"/>
      <c r="C208" s="258"/>
      <c r="D208" s="258"/>
      <c r="E208" s="258"/>
      <c r="F208" s="258"/>
      <c r="G208" s="258"/>
      <c r="H208" s="258"/>
    </row>
    <row r="209">
      <c r="A209" s="258"/>
      <c r="B209" s="258"/>
      <c r="C209" s="258"/>
      <c r="D209" s="258"/>
      <c r="E209" s="258"/>
      <c r="F209" s="258"/>
      <c r="G209" s="258"/>
      <c r="H209" s="258"/>
    </row>
    <row r="210">
      <c r="A210" s="258"/>
      <c r="B210" s="258"/>
      <c r="C210" s="258"/>
      <c r="D210" s="258"/>
      <c r="E210" s="258"/>
      <c r="F210" s="258"/>
      <c r="G210" s="258"/>
      <c r="H210" s="258"/>
    </row>
  </sheetData>
  <conditionalFormatting sqref="B25:F29">
    <cfRule type="colorScale" priority="1">
      <colorScale>
        <cfvo type="min"/>
        <cfvo type="percentile" val="50"/>
        <cfvo type="formula" val="0"/>
        <color rgb="FFE06666"/>
        <color rgb="FFF9D8BF"/>
        <color rgb="FFFFFFFF"/>
      </colorScale>
    </cfRule>
  </conditionalFormatting>
  <conditionalFormatting sqref="B17:F21">
    <cfRule type="colorScale" priority="2">
      <colorScale>
        <cfvo type="min"/>
        <cfvo type="max"/>
        <color rgb="FFEFF4FF"/>
        <color rgb="FF6D9EEA"/>
      </colorScale>
    </cfRule>
  </conditionalFormatting>
  <drawing r:id="rId1"/>
</worksheet>
</file>