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uation" sheetId="1" r:id="rId5"/>
    <sheet state="visible" name="Assumptions" sheetId="2" r:id="rId6"/>
    <sheet state="visible" name="Discount rate" sheetId="3" r:id="rId7"/>
    <sheet state="visible" name="Operating forecast" sheetId="4" r:id="rId8"/>
    <sheet state="visible" name="Cloud demand" sheetId="5" r:id="rId9"/>
    <sheet state="visible" name="Working capital" sheetId="6" r:id="rId10"/>
    <sheet state="visible" name="Capital and FCFF" sheetId="7" r:id="rId11"/>
    <sheet state="visible" name="Transition" sheetId="8" r:id="rId12"/>
    <sheet state="visible" name="Relative valuation" sheetId="9" r:id="rId13"/>
    <sheet state="visible" name="Simulation inputs" sheetId="10" r:id="rId14"/>
    <sheet state="visible" name="Financial assets" sheetId="11" r:id="rId15"/>
    <sheet state="visible" name="Historical base" sheetId="12" r:id="rId16"/>
    <sheet state="visible" name="Income statement" sheetId="13" r:id="rId17"/>
    <sheet state="visible" name="Balance sheet" sheetId="14" r:id="rId18"/>
    <sheet state="visible" name="Cash flow" sheetId="15" r:id="rId19"/>
    <sheet state="visible" name="Revenue breakdown" sheetId="16" r:id="rId20"/>
    <sheet state="visible" name="Segment breakdown" sheetId="17" r:id="rId21"/>
    <sheet state="visible" name="Sources and basis" sheetId="18" r:id="rId22"/>
    <sheet state="visible" name="Sensitivity"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Assumption: tax basis = carrying value (no gain assumed). Basis not disclosed; maximum tax at 21% would be about USD 1.5bn.</t>
      </text>
    </comment>
    <comment authorId="0" ref="C10">
      <text>
        <t xml:space="preserve">Assumption: near-zero tax basis, same as the current SpaceX holding (row 8).</t>
      </text>
    </comment>
    <comment authorId="0" ref="C9">
      <text>
        <t xml:space="preserve">Assumption: tax basis = carrying value (no gain assumed). Basis not disclosed; maximum tax at 21% would be about USD 1.5bn.</t>
      </text>
    </comment>
    <comment authorId="0" ref="C8">
      <text>
        <t xml:space="preserve">Assumption: near-zero tax basis. Google's original SpaceX investment (2015) is under 1% of the current carrying value, so the full value is treated as taxable gain at 21%.</t>
      </text>
    </comment>
    <comment authorId="0" ref="C7">
      <text>
        <t xml:space="preserve">Assumption: tax basis = fair value (no taxable gain). The matched-scope AOCI table (rows 21-23) shows a USD 145m unrealised loss, so gains on debt securities are immaterial.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1">
      <text>
        <t xml:space="preserve">Source: Alphabet Q2 2025 Form 10-Q, accrued expenses: European Commission fines 7,099 plus 1,400 privacy settlement in other accrued. Not disclosed on the later 'fines and settlements' basis, so treat as a lower bound. https://www.sec.gov/Archives/edgar/data/1652044/000165204425000062/goog-20250630.htm</t>
      </text>
    </comment>
    <comment authorId="0" ref="G80">
      <text>
        <t xml:space="preserve">Source: Alphabet FY2025 Form 10-K, note on accrued expenses (recast 'Accrued fines and settlements'), https://www.sec.gov/Archives/edgar/data/1652044/000165204426000018/goog-20251231.htm</t>
      </text>
    </comment>
    <comment authorId="0" ref="B120">
      <text>
        <t xml:space="preserve">Alphabet Q2 2025 earnings release, consolidated income statement comparative H1 2024. https://abc.xyz/assets/cc/27/3ada14014efbadd7a58472f1f3f4/2025q2-alphabet-earnings-release.pdf</t>
      </text>
    </comment>
  </commentList>
</comments>
</file>

<file path=xl/sharedStrings.xml><?xml version="1.0" encoding="utf-8"?>
<sst xmlns="http://schemas.openxmlformats.org/spreadsheetml/2006/main" count="1885" uniqueCount="1375">
  <si>
    <t>Alphabet | valuation framework</t>
  </si>
  <si>
    <t>USD millions. Operating DCF versus adjusted market EV; aggregate equity bridge retained. No per-share inputs or outputs.</t>
  </si>
  <si>
    <t>Selected scenario</t>
  </si>
  <si>
    <t>Valuation date</t>
  </si>
  <si>
    <t>Market inputs / enterprise bridge</t>
  </si>
  <si>
    <t>Input</t>
  </si>
  <si>
    <t>Basis</t>
  </si>
  <si>
    <t>Market capitalisation</t>
  </si>
  <si>
    <t>Common equity market value at the agreed valuation date; source directly, without diluted-share multiplication.</t>
  </si>
  <si>
    <t>Unpaid legal settlement claim proxy</t>
  </si>
  <si>
    <t>June legal accrual less known July payment; provisional carrying-value proxy, separate from recurring FCFF.</t>
  </si>
  <si>
    <t>US Treasury risk-free rate</t>
  </si>
  <si>
    <t>23 October 2026 US Treasury 10-year par yield; source in Sources and basis.</t>
  </si>
  <si>
    <t>Operating-business levered beta</t>
  </si>
  <si>
    <t>Bottom-up / cash-adjusted beta research</t>
  </si>
  <si>
    <t>Implied equity risk premium</t>
  </si>
  <si>
    <t>Latest monthly ERP available at 25 October: 1 October 2026.</t>
  </si>
  <si>
    <t>Pre-tax cost of debt</t>
  </si>
  <si>
    <t>Valuation-date borrowing yield</t>
  </si>
  <si>
    <t>Debt market value, ex finance leases</t>
  </si>
  <si>
    <t>Current and long-term financing claims</t>
  </si>
  <si>
    <t>Preferred market claim</t>
  </si>
  <si>
    <t>Mandatory conversion terms; avoid adding shares and claim together</t>
  </si>
  <si>
    <t>Preferred required return</t>
  </si>
  <si>
    <t>Dividend and conversion economics</t>
  </si>
  <si>
    <t>Finance lease claim proxy</t>
  </si>
  <si>
    <t>Lease PP&amp;E is included; book value used as the market-value proxy (disclosed approximation)</t>
  </si>
  <si>
    <t>Non-controlling interest value</t>
  </si>
  <si>
    <t>Book value, deducted in full; Waymo share not disclosed (may overstate claims by up to 7,100)</t>
  </si>
  <si>
    <t>Credited excess cash</t>
  </si>
  <si>
    <t>Required operating cash excluded</t>
  </si>
  <si>
    <t>Credited marketable investments</t>
  </si>
  <si>
    <t>Liquidity restrictions and valuation uncertainty assessed</t>
  </si>
  <si>
    <t>Credited non-marketable investments</t>
  </si>
  <si>
    <t>Valuation uncertainty and taxes assessed</t>
  </si>
  <si>
    <t>Terminal growth</t>
  </si>
  <si>
    <t>Terminal return on capital</t>
  </si>
  <si>
    <t>Base ceiling 12%, Bull 16%, Bear current WACC; also capped at each scenario's starting return. Terminal reinvestment = growth / return.</t>
  </si>
  <si>
    <t>Baseline reviewed for valuation</t>
  </si>
  <si>
    <t>Group sign-off remains pending. Estimated June-to-October cash bridge, tax bases and book-value NCI are disclosed approximations.</t>
  </si>
  <si>
    <t>Mid-year discounting (1 = on, 0 = year-end)</t>
  </si>
  <si>
    <t>Cash flows assumed mid-period; H2 2026 stub at its midpoint; terminal value shifted once through Transition!G19.</t>
  </si>
  <si>
    <t>Cost of equity</t>
  </si>
  <si>
    <t>Market value of common equity</t>
  </si>
  <si>
    <t>Total financing value</t>
  </si>
  <si>
    <t>WACC</t>
  </si>
  <si>
    <t>Indicative estimate; see Discount rate for dated evidence and approximation choices.</t>
  </si>
  <si>
    <t>Valuation readiness</t>
  </si>
  <si>
    <t>Discounted cash flow</t>
  </si>
  <si>
    <t>H2 2026</t>
  </si>
  <si>
    <t>2027</t>
  </si>
  <si>
    <t>2028</t>
  </si>
  <si>
    <t>2029</t>
  </si>
  <si>
    <t>2030</t>
  </si>
  <si>
    <t>2031</t>
  </si>
  <si>
    <t>Cash-flow date</t>
  </si>
  <si>
    <t>Years from valuation date</t>
  </si>
  <si>
    <t>Remaining-period fraction</t>
  </si>
  <si>
    <t>Model FCFF</t>
  </si>
  <si>
    <t>Cash flow after valuation date</t>
  </si>
  <si>
    <t>Present value</t>
  </si>
  <si>
    <t>Terminal NOPAT</t>
  </si>
  <si>
    <t>Terminal reinvestment rate</t>
  </si>
  <si>
    <t>Terminal FCFF</t>
  </si>
  <si>
    <t>Terminal value</t>
  </si>
  <si>
    <t>Present value of terminal value</t>
  </si>
  <si>
    <t>Indicative operating enterprise value</t>
  </si>
  <si>
    <t>Non-operating assets credited</t>
  </si>
  <si>
    <t>Financing, minority and settlement claims</t>
  </si>
  <si>
    <t>Common equity value</t>
  </si>
  <si>
    <t>Market-implied operating EV</t>
  </si>
  <si>
    <t>Operating EV valuation gap (%)</t>
  </si>
  <si>
    <t>Operating EV surplus / (shortfall)</t>
  </si>
  <si>
    <t>June financial reference balances</t>
  </si>
  <si>
    <t>USD million</t>
  </si>
  <si>
    <t>Not automatically credited at book value</t>
  </si>
  <si>
    <t>Cash / marketable securities</t>
  </si>
  <si>
    <t>Non-marketable investments</t>
  </si>
  <si>
    <t>Debt carrying value, ex leases</t>
  </si>
  <si>
    <t>Preferred book capital</t>
  </si>
  <si>
    <t>Non-controlling interest book value</t>
  </si>
  <si>
    <t>The October bridge estimates elapsed operating cash flow and dividends, includes disclosed financing and marks quoted investments. Tax bases, debt values and NCI retain proxies. Final outputs await group sign-off.</t>
  </si>
  <si>
    <t>Explicit FCFF through 2031 is followed by the Transition schedule for 2032–2036. Terminal value starts in 2037; no per-share target is calculated.</t>
  </si>
  <si>
    <t>Operating-EV and common-equity gaps use their respective market-value denominators. Simulation inputs and Relative valuation contain the completed Monte Carlo and SOTP cross-checks.</t>
  </si>
  <si>
    <t>Investment bridge design</t>
  </si>
  <si>
    <t>Amount</t>
  </si>
  <si>
    <t>Treatment</t>
  </si>
  <si>
    <t>Taxable gain on each holding</t>
  </si>
  <si>
    <t>Use supported tax basis and tax jurisdiction; do not tax the entire holding automatically.</t>
  </si>
  <si>
    <t>Deferred tax already accounted for</t>
  </si>
  <si>
    <t>Match each tax adjustment to the equity bridge so the same tax is not deducted twice.</t>
  </si>
  <si>
    <t>Liquidity / valuation adjustment</t>
  </si>
  <si>
    <t>Apply only with a stated basis, after separating tax from marketability risk.</t>
  </si>
  <si>
    <t>Waymo funding reference</t>
  </si>
  <si>
    <t>Not added to the consolidated DCF</t>
  </si>
  <si>
    <t>February 2026 post-money equity value</t>
  </si>
  <si>
    <t>External transaction reference; financing rights and information cutoff matter.</t>
  </si>
  <si>
    <t>Funding raised</t>
  </si>
  <si>
    <t>Cash raised is not the valuation.</t>
  </si>
  <si>
    <t>Alphabet attributable ownership</t>
  </si>
  <si>
    <t>60-90%</t>
  </si>
  <si>
    <t>Not disclosed (majority investor); range used as a sensitivity in Relative valuation rows 39-40.</t>
  </si>
  <si>
    <t>Attributable equity reference</t>
  </si>
  <si>
    <t>75,600-113,400</t>
  </si>
  <si>
    <t>Post-money x ownership range; a funding price is not intrinsic value.</t>
  </si>
  <si>
    <t>SOTP treatment</t>
  </si>
  <si>
    <t>Done</t>
  </si>
  <si>
    <t>Relative valuation tab: Waymo at attributable value, all Waymo cash removed from the bridge, NCI kept in claims.</t>
  </si>
  <si>
    <t>Outstanding valuation work</t>
  </si>
  <si>
    <t>Status</t>
  </si>
  <si>
    <t>Market inputs / ERP vintage</t>
  </si>
  <si>
    <t>25 October 2026 information cutoff; 23 October closes and Treasury yield; 1 October implied ERP. Source dates and balance-sheet proxies are identified in Discount rate.</t>
  </si>
  <si>
    <t>Investment tax bases / marketability</t>
  </si>
  <si>
    <t>Done (proxies)</t>
  </si>
  <si>
    <t>Tax-basis proxies and haircuts in Financial assets; zero-basis stress shown there.</t>
  </si>
  <si>
    <t>Cloud capacity / revenue linkage</t>
  </si>
  <si>
    <t>Capacity coverage in Cloud demand rows 17-19; requirement in Assumptions row 234.</t>
  </si>
  <si>
    <t>Cash taxes / replacement calibration</t>
  </si>
  <si>
    <t>Done (normalised rate)</t>
  </si>
  <si>
    <t>18% normalised tax fading to 21%; renewal floors in Capital and FCFF (none binding).</t>
  </si>
  <si>
    <t>Monte Carlo distribution / SOTP</t>
  </si>
  <si>
    <t>Simulation inputs and Relative valuation tabs; Python replica matches Base, Bull and Bear.</t>
  </si>
  <si>
    <t>Discount-rate sensitivity | operating EV</t>
  </si>
  <si>
    <t>WACC change</t>
  </si>
  <si>
    <t>Operating EV</t>
  </si>
  <si>
    <t>Forecast cash flows and terminal operating assumptions are held fixed. This is discount-rate sensitivity, not Monte Carlo or a final investment recommendation.</t>
  </si>
  <si>
    <t>Alphabet | model assumptions</t>
  </si>
  <si>
    <t>PROVISIONAL BASELINE — editable scenarios; not a completed valuation or investment recommendation.</t>
  </si>
  <si>
    <t>Base</t>
  </si>
  <si>
    <t>Historical NOPAT tax benchmark</t>
  </si>
  <si>
    <t>Driver / scenario</t>
  </si>
  <si>
    <t>Rationale / evidence</t>
  </si>
  <si>
    <t>Search growth — active</t>
  </si>
  <si>
    <t>H2 base holds H1 YoY growth; later fade is provisional.</t>
  </si>
  <si>
    <t>Bull</t>
  </si>
  <si>
    <t>Bear</t>
  </si>
  <si>
    <t>YouTube advertising growth — active</t>
  </si>
  <si>
    <t>Advertising only; subscriptions remain within Services other revenue.</t>
  </si>
  <si>
    <t>Network growth — active</t>
  </si>
  <si>
    <t>Reflects recent contraction; scenarios are analyst inputs.</t>
  </si>
  <si>
    <t>Subscriptions / devices growth — active</t>
  </si>
  <si>
    <t>Includes subscriptions, platforms and devices.</t>
  </si>
  <si>
    <t>Cloud demand growth before backlog / delivery</t>
  </si>
  <si>
    <t>Reference demand taper; Cloud demand reconciles opening backlog, new business and delivery. Actual revenue growth is an output.</t>
  </si>
  <si>
    <t>Other Bets revenue growth — active</t>
  </si>
  <si>
    <t>Consolidated Other Bets, not a standalone Waymo valuation.</t>
  </si>
  <si>
    <t>Services reference EBIT margin — active</t>
  </si>
  <si>
    <t>Common reference margin across cases; explicit TAC and AI-cost changes drive case differences.</t>
  </si>
  <si>
    <t>Cloud reference EBIT margin — active</t>
  </si>
  <si>
    <t>Reference margin; explicit capital schedule determines consolidated D&amp;A.</t>
  </si>
  <si>
    <t>Other Bets cost growth — active</t>
  </si>
  <si>
    <t>Costs are positive loss magnitude; no speculative loss addback.</t>
  </si>
  <si>
    <t>Shared AI research cost elasticity</t>
  </si>
  <si>
    <t>Applied to planned group demand growth from 2027. Other shared costs grow at the separate inflation rate.</t>
  </si>
  <si>
    <t>Cash CapEx / revenue — active</t>
  </si>
  <si>
    <t>H2 uses annual guidance less H1 actual. Later intensity is provisional; replacement floor applies.</t>
  </si>
  <si>
    <t/>
  </si>
  <si>
    <t>Annual deployment rate — active</t>
  </si>
  <si>
    <t>Fraction commissioned from opening CIP plus half-period spend; applied pro rata in H2. Calibration on this convention (transfers = opening assets not in service + cash CapEx - closing): 60.4% in 2024, 65.9% in 2025, 61.2% in H1 2026 (10-K FY2024/FY2025, Q2 2026 10-Q PP&amp;E notes).</t>
  </si>
  <si>
    <t>New hardware economic life — active</t>
  </si>
  <si>
    <t>Economic replacement scenarios. Does not claim a change to reported historical depreciation.</t>
  </si>
  <si>
    <t>Hardware share of commissioned assets — active</t>
  </si>
  <si>
    <t>Provisional allocation; net asset/cohort mix is not publicly disclosed.</t>
  </si>
  <si>
    <t>Forecast operating tax rate — active</t>
  </si>
  <si>
    <t>Recurring operating rate from the FY2025 rate reconciliation: 16.8% reported, excluding unrecognised-tax-benefit releases (-0.7pp) and other US adjustments (-0.6pp). Fades to the 21% marginal rate (B149) over 2032-2036. Accelerated tax depreciation on CapEx would lower cash taxes further; not modelled.</t>
  </si>
  <si>
    <t>Working-capital method</t>
  </si>
  <si>
    <t>Component schedule in Working capital; active assumptions at rows 103–141.</t>
  </si>
  <si>
    <t>Opening asset assumptions</t>
  </si>
  <si>
    <t>Value</t>
  </si>
  <si>
    <t>Hardware share of opening in-service net PP&amp;E</t>
  </si>
  <si>
    <t>Provisional allocation; not a reported segment asset split.</t>
  </si>
  <si>
    <t>Remaining life of opening hardware</t>
  </si>
  <si>
    <t>Years; existing net book value runs off over this period.</t>
  </si>
  <si>
    <t>Remaining life of other opening productive PP&amp;E</t>
  </si>
  <si>
    <t>Years; provisional blended buildings/other assets.</t>
  </si>
  <si>
    <t>Useful life of new non-hardware assets</t>
  </si>
  <si>
    <t>Years; blended long-lived pool; separate land/buildings refinement remains.</t>
  </si>
  <si>
    <t>H2 2026 CapEx budget</t>
  </si>
  <si>
    <t>Annual guidance midpoint less H1 actual cash CapEx.</t>
  </si>
  <si>
    <t>2031 intangible amortisation assumption</t>
  </si>
  <si>
    <t>Not individually disclosed: capped carry-forward of 2030 schedule; provisional.</t>
  </si>
  <si>
    <t>Reference D&amp;A / revenue</t>
  </si>
  <si>
    <t>Removes H1 D&amp;A burden from reference segment earnings before modelled D&amp;A.</t>
  </si>
  <si>
    <t>Modelling status</t>
  </si>
  <si>
    <t>Provisional</t>
  </si>
  <si>
    <t>Backlog timing, capacity sensitivity, customer-funding exposure, asset mix and cash taxes remain provisional.</t>
  </si>
  <si>
    <t>Source and calibration: historical links refer to Historical base; guidance and intangible schedule refer to Sources and basis.</t>
  </si>
  <si>
    <t>Hardware life changes both depreciation and the replacement-spending floor. Deployment affects commissioning; revenue scenarios must be reviewed jointly.</t>
  </si>
  <si>
    <t>Receivable days — active</t>
  </si>
  <si>
    <t>June receivables / TTM sales × 365; unchanged collection speed until stronger evidence.</t>
  </si>
  <si>
    <t>Inventory / revenue — active</t>
  </si>
  <si>
    <t>Normalises toward the reclassified FY2025 inventory/revenue ratio (0.61%), not zero. Timing remains a scenario assumption; TPU sales may raise the sustainable requirement.</t>
  </si>
  <si>
    <t>Other operating assets / revenue — active</t>
  </si>
  <si>
    <t>June / TTM calibration; residual disclosures and acquisition effects limit precision.</t>
  </si>
  <si>
    <t>Operating supplier payables / revenue — active</t>
  </si>
  <si>
    <t>Compensation accrual / revenue — active</t>
  </si>
  <si>
    <t>Revenue-share accrual / revenue — active</t>
  </si>
  <si>
    <t>Deferred revenue / revenue — active</t>
  </si>
  <si>
    <t>Other operating accruals / revenue — active</t>
  </si>
  <si>
    <t>Terminal transition</t>
  </si>
  <si>
    <t>Transition duration (years)</t>
  </si>
  <si>
    <t>2032–2036 fade after explicit forecast; no single-year terminal reset.</t>
  </si>
  <si>
    <t>Terminal margin override</t>
  </si>
  <si>
    <t>Blank uses normalised 2031 margin before existing acquired-intangible amortisation. Transition subtracts the runoff schedule; terminal has no remaining finite amortisation.</t>
  </si>
  <si>
    <t>Terminal operating tax rate</t>
  </si>
  <si>
    <t>Provisional benchmark; no automatic cash-tax benefit from accounting depreciation.</t>
  </si>
  <si>
    <t>TAC rate change vs. reference — active</t>
  </si>
  <si>
    <t>Percentage-point change on advertising revenue. Illustrative stress; base retains embedded reference TAC.</t>
  </si>
  <si>
    <t>AI serving-cost change — derived in forecast</t>
  </si>
  <si>
    <t>Replaced by the linked unit-cost and workload assumptions below; see Operating forecast.</t>
  </si>
  <si>
    <t>Unit-cost and workload scenarios are controlled at rows 207–217.</t>
  </si>
  <si>
    <t>Cloud delivery, financing and mature returns</t>
  </si>
  <si>
    <t>Opening Cloud backlog recognition shares</t>
  </si>
  <si>
    <t>Analyst profile. Periods: H2 2026, then FY2027–2031. Tail maturity is not disclosed.</t>
  </si>
  <si>
    <t>Opening backlog share in H1 2028</t>
  </si>
  <si>
    <t>H2 2026 + 2027 + H1 2028 = 51%; applies group timing as a Cloud proxy.</t>
  </si>
  <si>
    <t>Reference 24-month recognition</t>
  </si>
  <si>
    <t>Numeric interpretation of 'just over 50%'; not exact company guidance.</t>
  </si>
  <si>
    <t>Historical commissioning rate (terminal normalisation)</t>
  </si>
  <si>
    <t>Historical proxy from cash CapEx and construction-balance changes (row 62 note). Sets the normal construction-in-progress level used to normalise depreciation before the terminal period (Transition rows 46–52). Delivery now uses capacity coverage (row 234).</t>
  </si>
  <si>
    <t>Minimum revenue outside opening backlog</t>
  </si>
  <si>
    <t>Illustrative share for new contracts, renewals and usage outside June backlog; not a disclosed split.</t>
  </si>
  <si>
    <t>Financing-sensitive exposure share</t>
  </si>
  <si>
    <t>Illustrative stress exposure, not a disclosed customer or backlog concentration.</t>
  </si>
  <si>
    <t>Deferral on exposed backlog</t>
  </si>
  <si>
    <t>Defers recognition of the exposed portion; no cancellation or lifetime haircut assumed.</t>
  </si>
  <si>
    <t>New-business pressure on exposed share</t>
  </si>
  <si>
    <t>Lower new contracting/usage associated with customer funding constraints.</t>
  </si>
  <si>
    <t>Delivery-sensitive revenue share</t>
  </si>
  <si>
    <t>Half of scheduled demand responds to relative commissioning; proxy pending workload/capacity disclosure.</t>
  </si>
  <si>
    <t>Terminal incremental-return ceiling</t>
  </si>
  <si>
    <t>Transition also caps this at its starting return: no automatic recovery of weak returns.</t>
  </si>
  <si>
    <t>Terminal revenue growth</t>
  </si>
  <si>
    <t>Nominal long-run scenario assumptions. Growth taper reflects maturity, not a backlog expiry date.</t>
  </si>
  <si>
    <t>Private-investment valuation haircut</t>
  </si>
  <si>
    <t>Joint financing-risk sensitivity; not a claim about observed portfolio impairment.</t>
  </si>
  <si>
    <t>Annual inference unit-cost improvement</t>
  </si>
  <si>
    <t>Illustrative efficiency scenarios. Excludes D&amp;A and shared model-training/research expense.</t>
  </si>
  <si>
    <t>AI workload intensity growth</t>
  </si>
  <si>
    <t>AI serving workload per dollar of Services revenue; captures adoption/complexity outrunning monetisation.</t>
  </si>
  <si>
    <t>Reference AI serving expense / Services sales</t>
  </si>
  <si>
    <t>Illustrative exposure used to translate unit economics into a margin sensitivity; not reported cost per query.</t>
  </si>
  <si>
    <t>AI research share of shared costs</t>
  </si>
  <si>
    <t>Analyst split of Alphabet-level expense; no separately reported training-cost series.</t>
  </si>
  <si>
    <t>Other shared-cost annual growth</t>
  </si>
  <si>
    <t>Nominal cost inflation assumption.</t>
  </si>
  <si>
    <t>H2 research cost growth vs H1</t>
  </si>
  <si>
    <t>Sequential half-year stress on shared AI research. Thereafter research scales with planned demand and elasticity.</t>
  </si>
  <si>
    <t>Network TAC differential sensitivity</t>
  </si>
  <si>
    <t>Assumed 40pp Network-versus-other-advertising cost differential; calibrates mix effects, not a disclosed rate.</t>
  </si>
  <si>
    <t>Conditional funding draw probability</t>
  </si>
  <si>
    <t>Scenario cash requirement only. Gross funding is not automatically a valuation loss: acquired rights and derivative liabilities require reconciliation.</t>
  </si>
  <si>
    <t>Capacity requirement: in-service PP&amp;E per dollar of annualised group demand</t>
  </si>
  <si>
    <t>Calibrated so the Base build just covers Base demand (average in-service PP&amp;E / annualised planned demand, rounded down). It embeds the Base investment requirement rather than validating it; net book PP&amp;E is a proxy for computing capacity, not physical capacity. Sensitivity: requirement +10% → operating EV −51bn (−25bn to −76bn as the delivery-sensitive share moves 25%–75%); +20% → −92bn; lower requirements do not bind.</t>
  </si>
  <si>
    <t>Acquired-intangible runoff and cash-tax sensitivity</t>
  </si>
  <si>
    <t>Unallocated amortisation after 2031</t>
  </si>
  <si>
    <t>Disclosed USD 3,550m after 2030 less the retained USD 1,055m 2031 estimate.</t>
  </si>
  <si>
    <t>Residual runoff years from 2032</t>
  </si>
  <si>
    <t>Analyst allocation across 2032–2036; not company year-by-year guidance. Existing asset lives are generally 1–10 years (Q2 2026 Note 1).</t>
  </si>
  <si>
    <t>Book amortisation tax-deductible share</t>
  </si>
  <si>
    <t>0% Base: no unverified acquired-intangible cash-tax deduction. 100% sensitivity approximates book amortisation as deductible; not a claim about tax basis.</t>
  </si>
  <si>
    <t>Alphabet | discount rate and financing claims</t>
  </si>
  <si>
    <t>USD millions except prices, percentages and ratios. Valuation/information cutoff: 25 October 2026; market closes: 23 October. June balance-sheet proxies and subsequent-event estimates are identified.</t>
  </si>
  <si>
    <t>Selected case</t>
  </si>
  <si>
    <t>Market input</t>
  </si>
  <si>
    <t>Basis / source</t>
  </si>
  <si>
    <t>Common-equity market capitalisation</t>
  </si>
  <si>
    <t>23 October 2026 group market capitalisation, rounded USDm. https://ycharts.com/companies/GOOGL/market_cap</t>
  </si>
  <si>
    <t>US Treasury yield</t>
  </si>
  <si>
    <t>23 October 2026 US Treasury 10-year par yield: 5.00%. Treasury-based ERP convention.</t>
  </si>
  <si>
    <t>Damodaran implied ERP</t>
  </si>
  <si>
    <t>1 October 2026 implied ERP, trailing-12-month adjusted payout, Treasury convention: 4.20%. https://pages.stern.nyu.edu/adamodar/New_Home_Page/home.htm</t>
  </si>
  <si>
    <t>Operating beta build</t>
  </si>
  <si>
    <t>TTM revenue</t>
  </si>
  <si>
    <t>Revenue weight</t>
  </si>
  <si>
    <t>Cash-adjusted unlevered beta</t>
  </si>
  <si>
    <t>Google Services</t>
  </si>
  <si>
    <t>Advertising industry proxy; January 2026 US sector data.</t>
  </si>
  <si>
    <t>Google Cloud</t>
  </si>
  <si>
    <t>System &amp; application software proxy; infrastructure exposure warrants sensitivity.</t>
  </si>
  <si>
    <t>Other Bets</t>
  </si>
  <si>
    <t>Internet software proxy; small revenue weight understates early-stage option value. Review through SOTP.</t>
  </si>
  <si>
    <t>Weighted operating beta</t>
  </si>
  <si>
    <t>Revenue weighting is a provisional substitute for business-value weights; not a regression estimate.</t>
  </si>
  <si>
    <t>Operating levered beta</t>
  </si>
  <si>
    <t>Relever using market debt/common equity. Portfolio leverage approximation; test against alternate peer weights.</t>
  </si>
  <si>
    <t>Cost of common equity</t>
  </si>
  <si>
    <t>CAPM; https://pages.stern.nyu.edu/adamodar/New_Home_Page/datafile/Betas.html</t>
  </si>
  <si>
    <t>Debt and financing claims</t>
  </si>
  <si>
    <t>June quoted notes fair value</t>
  </si>
  <si>
    <t>June 2026 quoted notes fair value carried forward as a proxy, not an October bond quote.</t>
  </si>
  <si>
    <t>Other long-term debt proxy</t>
  </si>
  <si>
    <t>June other debt 1,686 plus Waymo's USD5,000m term loan closed 8 October 2026; face value proxy. https://blog.waymo.com/blog/2026/10/waymo-closes-5-billion-debt-financing/</t>
  </si>
  <si>
    <t>Debt excluding finance leases</t>
  </si>
  <si>
    <t>Avoid adding the current note portion again; included in outstanding-note fair value.</t>
  </si>
  <si>
    <t>Finance lease claim</t>
  </si>
  <si>
    <t>June carrying-value proxy; already separate in the enterprise bridge.</t>
  </si>
  <si>
    <t>Borrowing-cost estimate</t>
  </si>
  <si>
    <t>H1 EBIT</t>
  </si>
  <si>
    <t>Six-month operating earnings; used only to assess interest coverage.</t>
  </si>
  <si>
    <t>H1 interest expense incl. capitalised</t>
  </si>
  <si>
    <t>Q2 2026 Note 7; capitalised interest included to avoid overstating coverage.</t>
  </si>
  <si>
    <t>Interest coverage</t>
  </si>
  <si>
    <t>Same-period numerator and denominator.</t>
  </si>
  <si>
    <t>Synthetic credit spread</t>
  </si>
  <si>
    <t>January 2026 Aaa/AAA coverage category synthetic spread; not an observed October traded yield. https://pages.stern.nyu.edu/adamodar/New_Home_Page/datafile/ratings.html</t>
  </si>
  <si>
    <t>Pre-tax borrowing cost</t>
  </si>
  <si>
    <t>Treasury plus synthetic spread; test ±50 bps. A dated traded-bond yield can replace this estimate.</t>
  </si>
  <si>
    <t>Mandatory convertible preferred</t>
  </si>
  <si>
    <t>Total depositary shares (millions)</t>
  </si>
  <si>
    <t>Q2 2026 Note 11; split evenly between Series A/B.</t>
  </si>
  <si>
    <t>Series A depositary closing price</t>
  </si>
  <si>
    <t>23 October 2026 close, GOOGM. https://www.quiverquant.com/stock/GOOGM/historical-prices/</t>
  </si>
  <si>
    <t>Series B depositary closing price</t>
  </si>
  <si>
    <t>23 October 2026 close, GOOGN. https://businessquant.com/stocks/googn/</t>
  </si>
  <si>
    <t>Market value includes conversion rights; no additional common-share dilution adjustment.</t>
  </si>
  <si>
    <t>Preferred required return assumption</t>
  </si>
  <si>
    <t>Uses common-equity cost as a provisional equity-like risk proxy, not the 6.25% coupon or current dividend yield.</t>
  </si>
  <si>
    <t>Preferred-return WACC sensitivity</t>
  </si>
  <si>
    <t>WACC change if preferred required return falls from common-equity cost to borrowing cost.</t>
  </si>
  <si>
    <t>Weighted average cost of capital</t>
  </si>
  <si>
    <t>Market values, with June debt and lease proxies.</t>
  </si>
  <si>
    <t>Common equity weight</t>
  </si>
  <si>
    <t>Debt weight</t>
  </si>
  <si>
    <t>Preferred weight</t>
  </si>
  <si>
    <t>Indicative WACC</t>
  </si>
  <si>
    <t>One date, one base discount rate; model remains provisional pending peer and market-input review.</t>
  </si>
  <si>
    <t>NCI / ownership claim</t>
  </si>
  <si>
    <t>Reported NCI including redeemable NCI</t>
  </si>
  <si>
    <t>Book value reference only; not automatically credited as market claim.</t>
  </si>
  <si>
    <t>NCI market-value estimate</t>
  </si>
  <si>
    <t>Book value used as the claim. Waymo's outside stake at the USD 126bn Feb 2026 post-money is not disclosed; a 10-20% outside stake would add about USD 5-18bn of claims (0.1-0.4% of market cap).</t>
  </si>
  <si>
    <t>Sources: Alphabet Q2 2026 Form 10-Q; Waymo 8 October financing; Treasury 23 October yield; Damodaran January betas/spreads and October ERP; dated market quotes.</t>
  </si>
  <si>
    <t>Revenue-weighted sector beta and June debt/lease carry-forwards are proxies. The October Waymo borrowing is added explicitly. Preferred cost uses equity risk; its small weight limits WACC sensitivity.</t>
  </si>
  <si>
    <t>Capped calls are separate assets; issuance premium is not current value. Their unresolved valuation is flagged in Financial assets and must be addressed before a final equity conclusion.</t>
  </si>
  <si>
    <t>Alphabet | operating forecast</t>
  </si>
  <si>
    <t>USD millions. Provisional scenarios; reference segment margins are adjusted for the explicit group depreciation schedule.</t>
  </si>
  <si>
    <t>Revenue and earnings</t>
  </si>
  <si>
    <t>FY2025 A</t>
  </si>
  <si>
    <t>H1 2026 A</t>
  </si>
  <si>
    <t>TTM Jun26</t>
  </si>
  <si>
    <t>H2 2026 E</t>
  </si>
  <si>
    <t>FY2026 E</t>
  </si>
  <si>
    <t>2027 E</t>
  </si>
  <si>
    <t>2028 E</t>
  </si>
  <si>
    <t>2029 E</t>
  </si>
  <si>
    <t>2030 E</t>
  </si>
  <si>
    <t>2031 E</t>
  </si>
  <si>
    <t>Search &amp; other</t>
  </si>
  <si>
    <t>YouTube advertising</t>
  </si>
  <si>
    <t>Google Network</t>
  </si>
  <si>
    <t>Subscriptions / devices</t>
  </si>
  <si>
    <t>Hedging</t>
  </si>
  <si>
    <t>Total revenue</t>
  </si>
  <si>
    <t>Segment reference earnings</t>
  </si>
  <si>
    <t>Services reference EBIT</t>
  </si>
  <si>
    <t>Cloud reference EBIT</t>
  </si>
  <si>
    <t>Other Bets loss</t>
  </si>
  <si>
    <t>Alphabet-level costs</t>
  </si>
  <si>
    <t>Group earnings at reference D&amp;A</t>
  </si>
  <si>
    <t>Reference D&amp;A added back</t>
  </si>
  <si>
    <t>Pre-D&amp;A operating earnings (SBC retained)</t>
  </si>
  <si>
    <t>Explicit depreciation and tax</t>
  </si>
  <si>
    <t>Modelled PP&amp;E depreciation</t>
  </si>
  <si>
    <t>Intangible amortisation</t>
  </si>
  <si>
    <t>Consolidated EBIT</t>
  </si>
  <si>
    <t>Consolidated operating margin</t>
  </si>
  <si>
    <t>Operating tax</t>
  </si>
  <si>
    <t>NOPAT</t>
  </si>
  <si>
    <t>Cash CapEx</t>
  </si>
  <si>
    <t>Model interpretation</t>
  </si>
  <si>
    <t>Reference segment EBIT uses scenario margins at the H1 2026 D&amp;A/revenue burden. That burden is added back and replaced once by the capital schedule.</t>
  </si>
  <si>
    <t>Segment D&amp;A allocation is not disclosed; forecast segment reference EBIT is not a claim of independently modelled segment GAAP profit.</t>
  </si>
  <si>
    <t>H2 uses prior-year H2 product revenue × selected YoY growth. FY2026 combines H1 actual and H2 estimate; only future cash flows enter the DCF.</t>
  </si>
  <si>
    <t>Services cost sensitivities</t>
  </si>
  <si>
    <t>Advertising revenue</t>
  </si>
  <si>
    <t>TAC rate change vs. reference</t>
  </si>
  <si>
    <t>Incremental TAC cost</t>
  </si>
  <si>
    <t>AI serving-cost change</t>
  </si>
  <si>
    <t>Incremental AI serving cost</t>
  </si>
  <si>
    <t>Reference margins already include baseline TAC, content and infrastructure costs. Only changes versus that reference are applied; D&amp;A is replaced once at group level.</t>
  </si>
  <si>
    <t>Services cost drivers</t>
  </si>
  <si>
    <t>Reference Network share of advertising</t>
  </si>
  <si>
    <t>Forecast Network share</t>
  </si>
  <si>
    <t>TAC mix effect (percentage points)</t>
  </si>
  <si>
    <t>AI serving cost intensity factor</t>
  </si>
  <si>
    <t>Shared costs and planned demand</t>
  </si>
  <si>
    <t>Planned group revenue</t>
  </si>
  <si>
    <t>Shared AI research expense</t>
  </si>
  <si>
    <t>Other shared corporate expense</t>
  </si>
  <si>
    <t>Total Alphabet-level expense</t>
  </si>
  <si>
    <t>TAC change combines an explicit partner-pricing stress and a Network-mix sensitivity. Reference margins already include baseline TAC.</t>
  </si>
  <si>
    <t>AI serving cost = assumed starting exposure × cumulative unit-cost improvement × workload intensity. This excludes shared research and D&amp;A.</t>
  </si>
  <si>
    <t>Shared research follows planned demand with scenario elasticity. The non-AI residual follows inflation; spending does not instantly disappear when delivery disappoints.</t>
  </si>
  <si>
    <t>The 5% serving-cost exposure, 80% research split and 40pp Network differential are analyst sensitivities, not disclosed company metrics.</t>
  </si>
  <si>
    <t>Alphabet | Cloud demand and delivery</t>
  </si>
  <si>
    <t>USD millions. Opening backlog is recognised once; new contracts, renewals and usage are shown separately. Financing and capacity exposures are analyst sensitivities.</t>
  </si>
  <si>
    <t>Cloud revenue build</t>
  </si>
  <si>
    <t>June 2026 Cloud backlog</t>
  </si>
  <si>
    <t>Scheduled share of opening backlog</t>
  </si>
  <si>
    <t>Scheduled opening-backlog recognition</t>
  </si>
  <si>
    <t>Reference demand growth</t>
  </si>
  <si>
    <t>Revenue demand before backlog floor</t>
  </si>
  <si>
    <t>Planned Cloud demand</t>
  </si>
  <si>
    <t>New contracts / usage outside opening backlog</t>
  </si>
  <si>
    <t>Opening unrecognised June backlog</t>
  </si>
  <si>
    <t>Opening deferred recognition</t>
  </si>
  <si>
    <t>Recognition due including delays</t>
  </si>
  <si>
    <t>Required in-service PP&amp;E (capacity requirement × annualised demand)</t>
  </si>
  <si>
    <t>Average in-service PP&amp;E</t>
  </si>
  <si>
    <t>Capacity coverage (capped at 100%)</t>
  </si>
  <si>
    <t>Delivery factor</t>
  </si>
  <si>
    <t>Funding-related recognition factor</t>
  </si>
  <si>
    <t>Opening backlog recognised</t>
  </si>
  <si>
    <t>Closing unrecognised June backlog</t>
  </si>
  <si>
    <t>Delayed recognition carried forward</t>
  </si>
  <si>
    <t>New business after delivery constraint</t>
  </si>
  <si>
    <t>Financing-related new-business reduction</t>
  </si>
  <si>
    <t>New business recognised</t>
  </si>
  <si>
    <t>Forecast Cloud revenue</t>
  </si>
  <si>
    <t>Actual forecast revenue growth</t>
  </si>
  <si>
    <t>Demand less delivered revenue</t>
  </si>
  <si>
    <t>Group demand for CapEx planning</t>
  </si>
  <si>
    <t>Opening backlog reconciliation</t>
  </si>
  <si>
    <t>24-month reference recognition share</t>
  </si>
  <si>
    <t>24-month delivered share (timing proxy)</t>
  </si>
  <si>
    <t>June backlog remaining at end 2031</t>
  </si>
  <si>
    <t>AWS H1 2026 operating margin</t>
  </si>
  <si>
    <t>Cloud 2031 reference operating margin</t>
  </si>
  <si>
    <t>Timing: 51% by June 2028 is an analyst approximation to group guidance of just over 50%; the 2031 tail is assumed, not a disclosed contract expiry.</t>
  </si>
  <si>
    <t>Delivery compares average in-service PP&amp;E with the capacity that planned demand requires (Assumptions row 234, calibrated so the Base build just covers Base demand). A shortfall cuts the delivery-sensitive half of Cloud revenue; surplus capacity does not accelerate contracted revenue. This is a capacity proxy, not measured workloads or utilisation. Delayed opening backlog stays in the roll-forward.</t>
  </si>
  <si>
    <t>New-business demand is the residual after opening-backlog recognition, subject to a 15% minimum mix assumption. No separate new-bookings balance is claimed.</t>
  </si>
  <si>
    <t>Financing exposure (20%) is an illustrative sensitivity, not an identified customer share. Deferred conversion and weaker new business are modelled separately.</t>
  </si>
  <si>
    <t>Backlog extends beyond June 2028. Existing contracts are not added to the enterprise bridge; remaining performance obligations are future operating revenue.</t>
  </si>
  <si>
    <t>Sources: Alphabet Q2 2026 Form 10-Q Note 2; Google Cloud 6 April 2026 Anthropic capacity announcement; Amazon 30 July 2026 earnings release.</t>
  </si>
  <si>
    <t>Opening backlog allocation check</t>
  </si>
  <si>
    <t>24-month profile vs timing benchmark</t>
  </si>
  <si>
    <t>Alphabet | operating working capital</t>
  </si>
  <si>
    <t>USD millions. Non-cash operating balances exclude financing and identified non-operating items. Required operating cash is added in rows 58–62; residual classifications remain provisional.</t>
  </si>
  <si>
    <t>Opening non-cash operating WC</t>
  </si>
  <si>
    <t>Operating balance</t>
  </si>
  <si>
    <t>Dec 2025 A</t>
  </si>
  <si>
    <t>Jun 2026 A</t>
  </si>
  <si>
    <t>Dec 2026 E</t>
  </si>
  <si>
    <t>Operating current assets</t>
  </si>
  <si>
    <t>Trade receivables</t>
  </si>
  <si>
    <t>Inventory</t>
  </si>
  <si>
    <t>Other current assets / operating residual</t>
  </si>
  <si>
    <t>Less: held-for-sale PP&amp;E</t>
  </si>
  <si>
    <t>Less: further non-operating adjustments</t>
  </si>
  <si>
    <t>Operating current liabilities</t>
  </si>
  <si>
    <t>Reported accounts payable</t>
  </si>
  <si>
    <t>Less: CapEx creditors in AP</t>
  </si>
  <si>
    <t>Operating supplier payables</t>
  </si>
  <si>
    <t>Accrued compensation</t>
  </si>
  <si>
    <t>Accrued revenue share</t>
  </si>
  <si>
    <t>Deferred revenue</t>
  </si>
  <si>
    <t>Reported other current liabilities</t>
  </si>
  <si>
    <t>Less: financing, tax, leases and brokers</t>
  </si>
  <si>
    <t>Less: CapEx creditors in accruals</t>
  </si>
  <si>
    <t>Less: accrued fines and settlements</t>
  </si>
  <si>
    <t>Residual operating accruals</t>
  </si>
  <si>
    <t>Net operating working capital</t>
  </si>
  <si>
    <t>Published historical proxy</t>
  </si>
  <si>
    <t>Proxy after identified adjustments</t>
  </si>
  <si>
    <t>Reconciliation check</t>
  </si>
  <si>
    <t>Forecast calibration</t>
  </si>
  <si>
    <t>Annual / TTM revenue basis</t>
  </si>
  <si>
    <t>Receivable days</t>
  </si>
  <si>
    <t>Inventory / revenue</t>
  </si>
  <si>
    <t>Other operating assets / revenue</t>
  </si>
  <si>
    <t>Operating payables / revenue</t>
  </si>
  <si>
    <t>Compensation accrual / revenue</t>
  </si>
  <si>
    <t>Revenue-share accrual / revenue</t>
  </si>
  <si>
    <t>Deferred revenue / revenue</t>
  </si>
  <si>
    <t>Other operating accruals / revenue</t>
  </si>
  <si>
    <t>NOWC / revenue</t>
  </si>
  <si>
    <t>Forecast cash investment</t>
  </si>
  <si>
    <t>Opening operating working capital</t>
  </si>
  <si>
    <t>Increase in operating working capital</t>
  </si>
  <si>
    <t>Forecast opening NOWC removes held-for-sale PP&amp;E and legal accruals from the historical proxy. Required operating cash is added separately below.</t>
  </si>
  <si>
    <t>Residual other assets/liabilities may include derivatives or collateral not separately disclosed as current. Additional exclusion inputs default to zero, pending evidence.</t>
  </si>
  <si>
    <t>Legal settlements are excluded from recurring NOWC and handled in the valuation bridge. The July payment reduces cash; unpaid claims must not disappear.</t>
  </si>
  <si>
    <t>GFiber's reclassified assets are excluded from recurring working capital, not assumed worthless. Disposal / retained-interest value requires a separate assessment.</t>
  </si>
  <si>
    <t>Inventory normalises to the reclassified FY2025 ratio, approximately 0.61% of sales. The Q2 2026 comparative separates inventory from other current assets without changing historical NOWC.</t>
  </si>
  <si>
    <t>Required operating cash and total working capital</t>
  </si>
  <si>
    <t>Required operating cash</t>
  </si>
  <si>
    <t>Operating WC including required cash</t>
  </si>
  <si>
    <t>Opening required operating cash</t>
  </si>
  <si>
    <t>Increase in required cash</t>
  </si>
  <si>
    <t>Total operating WC investment</t>
  </si>
  <si>
    <t>Required operating cash uses Financial assets!B30 (2% of annual/TTM sales). The June reserve is withheld from surplus cash; future increases reduce FCFF and remain in operating capital.</t>
  </si>
  <si>
    <t>2032–2036 carries forward the 2031 total operating-WC/revenue ratio. Terminal g/return reinvestment includes cash funding; no second cash deduction is applied.</t>
  </si>
  <si>
    <t>Alphabet | capital deployment and FCFF</t>
  </si>
  <si>
    <t>USD millions. Economic depreciation / replacement prototype; asset allocation, tax treatment and deployment rates are provisional.</t>
  </si>
  <si>
    <t>Cash-flow forecast</t>
  </si>
  <si>
    <t>2032</t>
  </si>
  <si>
    <t>2033</t>
  </si>
  <si>
    <t>2034</t>
  </si>
  <si>
    <t>2035</t>
  </si>
  <si>
    <t>2036</t>
  </si>
  <si>
    <t>Period length (years)</t>
  </si>
  <si>
    <t>Years since June 2026, period end</t>
  </si>
  <si>
    <t>Cash investment and deployment</t>
  </si>
  <si>
    <t>Planned cash CapEx</t>
  </si>
  <si>
    <t>Replacement-spending floor</t>
  </si>
  <si>
    <t>Opening assets not in service</t>
  </si>
  <si>
    <t>Commissioned assets</t>
  </si>
  <si>
    <t>Closing assets not in service</t>
  </si>
  <si>
    <t>Hardware commissioned</t>
  </si>
  <si>
    <t>Other assets commissioned</t>
  </si>
  <si>
    <t>Capital and depreciation</t>
  </si>
  <si>
    <t>Opening net PP&amp;E</t>
  </si>
  <si>
    <t>Opening-asset hardware depreciation</t>
  </si>
  <si>
    <t>Opening-asset other depreciation</t>
  </si>
  <si>
    <t>Depreciation of new commissioned assets</t>
  </si>
  <si>
    <t>Total PP&amp;E economic depreciation</t>
  </si>
  <si>
    <t>Closing net PP&amp;E</t>
  </si>
  <si>
    <t>Closing in-service net PP&amp;E</t>
  </si>
  <si>
    <t>PP&amp;E roll-forward check</t>
  </si>
  <si>
    <t>Free cash flow</t>
  </si>
  <si>
    <t>PP&amp;E depreciation added back</t>
  </si>
  <si>
    <t>Intangible amortisation added back</t>
  </si>
  <si>
    <t>Cash CapEx deducted</t>
  </si>
  <si>
    <t>Closing operating WC including cash</t>
  </si>
  <si>
    <t>Opening operating WC including cash</t>
  </si>
  <si>
    <t>Increase in operating WC including cash</t>
  </si>
  <si>
    <t>Projected FCFF</t>
  </si>
  <si>
    <t>Average tangible operating capital</t>
  </si>
  <si>
    <t>Return on tangible operating capital</t>
  </si>
  <si>
    <t>Cash CapEx / period revenue</t>
  </si>
  <si>
    <t>Opening productive asset pools</t>
  </si>
  <si>
    <t>Opening hardware net book value</t>
  </si>
  <si>
    <t>Opening other productive net book value</t>
  </si>
  <si>
    <t>Opening hardware remaining life</t>
  </si>
  <si>
    <t>Opening other remaining life</t>
  </si>
  <si>
    <t>Hardware depreciation by commissioning cohort</t>
  </si>
  <si>
    <t>H2 2026 hardware</t>
  </si>
  <si>
    <t>2027 hardware</t>
  </si>
  <si>
    <t>2028 hardware</t>
  </si>
  <si>
    <t>2029 hardware</t>
  </si>
  <si>
    <t>2030 hardware</t>
  </si>
  <si>
    <t>2031 hardware</t>
  </si>
  <si>
    <t>2032 hardware</t>
  </si>
  <si>
    <t>2033 hardware</t>
  </si>
  <si>
    <t>2034 hardware</t>
  </si>
  <si>
    <t>2035 hardware</t>
  </si>
  <si>
    <t>2036 hardware</t>
  </si>
  <si>
    <t>Other-asset depreciation by commissioning cohort</t>
  </si>
  <si>
    <t>H2 2026 other assets</t>
  </si>
  <si>
    <t>2027 other assets</t>
  </si>
  <si>
    <t>2028 other assets</t>
  </si>
  <si>
    <t>2029 other assets</t>
  </si>
  <si>
    <t>2030 other assets</t>
  </si>
  <si>
    <t>2031 other assets</t>
  </si>
  <si>
    <t>2032 other assets</t>
  </si>
  <si>
    <t>2033 other assets</t>
  </si>
  <si>
    <t>2034 other assets</t>
  </si>
  <si>
    <t>2035 other assets</t>
  </si>
  <si>
    <t>2036 other assets</t>
  </si>
  <si>
    <t>Hardware replacement at cohort expiry</t>
  </si>
  <si>
    <t>H2 2026 hardware renewal</t>
  </si>
  <si>
    <t>2027 hardware renewal</t>
  </si>
  <si>
    <t>2028 hardware renewal</t>
  </si>
  <si>
    <t>2029 hardware renewal</t>
  </si>
  <si>
    <t>2030 hardware renewal</t>
  </si>
  <si>
    <t>2031 hardware renewal</t>
  </si>
  <si>
    <t>2032 hardware renewal</t>
  </si>
  <si>
    <t>2033 hardware renewal</t>
  </si>
  <si>
    <t>2034 hardware renewal</t>
  </si>
  <si>
    <t>2035 hardware renewal</t>
  </si>
  <si>
    <t>2036 hardware renewal</t>
  </si>
  <si>
    <t>Growth-implied tangible reinvestment</t>
  </si>
  <si>
    <t>Depreciation from earlier new cohorts</t>
  </si>
  <si>
    <t>Current-cohort D&amp;A per commissioned dollar</t>
  </si>
  <si>
    <t>Depreciation independent of current CapEx</t>
  </si>
  <si>
    <t>Depreciation per current CapEx dollar</t>
  </si>
  <si>
    <t>Cash CapEx solving for growth investment</t>
  </si>
  <si>
    <t>Net tangible cash reinvestment</t>
  </si>
  <si>
    <t>Additional reinvestment from renewal floor</t>
  </si>
  <si>
    <t>Depreciation solution reconciliation</t>
  </si>
  <si>
    <t>2032–2036 retains the asset cohorts and renewal floor. Required gross CapEx is solved algebraically from target net investment and depreciation to avoid a circular formula.</t>
  </si>
  <si>
    <t>Commissioning is a delivery proxy. Asset mix and lives are scenario assumptions; no separate physical workload or Cloud-only asset allocation is disclosed.</t>
  </si>
  <si>
    <t>Transition EBIT follows the mature-margin assumption. Renewal costs can increase cash reinvestment above the growth-implied amount and lower realised incremental returns.</t>
  </si>
  <si>
    <t>Existing finite intangibles run off through 2036: disclosed schedule through 2030, retained 2031 estimate, residual spread over 2032–2036. No future acquisitions assumed; R&amp;D remains expensed.</t>
  </si>
  <si>
    <t>Economic depreciation is not tax depreciation. Cash tax timing and finance-lease additions remain unresolved calibration items.</t>
  </si>
  <si>
    <t>Existing acquired-intangible roll-forward</t>
  </si>
  <si>
    <t>Opening definite-lived intangibles</t>
  </si>
  <si>
    <t>Amortisation of existing intangibles</t>
  </si>
  <si>
    <t>Closing definite-lived intangibles</t>
  </si>
  <si>
    <t>Closing indefinite-lived intangibles</t>
  </si>
  <si>
    <t>Total closing intangible book value</t>
  </si>
  <si>
    <t>Existing goodwill (no amortisation)</t>
  </si>
  <si>
    <t>Thereafter allocation check</t>
  </si>
  <si>
    <t>Opening intangible balance check</t>
  </si>
  <si>
    <t>Finite book amortisation is deducted in EBIT and added back in FCFF. Tax deduction is controlled separately. Goodwill and indefinite-lived intangibles are not amortised or added separately to DCF value.</t>
  </si>
  <si>
    <t>Transition investment is driven by NOPAT before acquired amortisation, excluding mechanical runoff and finite tax benefits from growth. Net tangible reinvestment deducts PP&amp;E depreciation only; this avoids disguising intangible runoff as new physical investment.</t>
  </si>
  <si>
    <t>Alphabet | transition to steady state</t>
  </si>
  <si>
    <t>USD millions. Five-year transition after 2031; growth and reinvestment fade gradually. No assumed margin recovery unless separately justified.</t>
  </si>
  <si>
    <t>Steady-state transition</t>
  </si>
  <si>
    <t>2031 anchor</t>
  </si>
  <si>
    <t>2032 E</t>
  </si>
  <si>
    <t>2033 E</t>
  </si>
  <si>
    <t>2034 E</t>
  </si>
  <si>
    <t>2035 E</t>
  </si>
  <si>
    <t>2036 E</t>
  </si>
  <si>
    <t>2037 terminal</t>
  </si>
  <si>
    <t>Transition completed</t>
  </si>
  <si>
    <t>Revenue growth</t>
  </si>
  <si>
    <t>Revenue</t>
  </si>
  <si>
    <t>Operating margin</t>
  </si>
  <si>
    <t>Operating profit</t>
  </si>
  <si>
    <t>Operating tax rate</t>
  </si>
  <si>
    <t>Net tangible reinvestment / pre-amort NOPAT</t>
  </si>
  <si>
    <t>FCFF</t>
  </si>
  <si>
    <t>Present value of transition FCFF</t>
  </si>
  <si>
    <t>Terminal controls</t>
  </si>
  <si>
    <t>Steady-state growth</t>
  </si>
  <si>
    <t>Steady-state return on capital</t>
  </si>
  <si>
    <t>Steady-state reinvestment rate</t>
  </si>
  <si>
    <t>Margin target used</t>
  </si>
  <si>
    <t>Terminal growth check</t>
  </si>
  <si>
    <t>Growth fades over 2032–2036. The terminal return is capped at the starting implied return, so a weak case does not automatically recover to an arbitrary 15%.</t>
  </si>
  <si>
    <t>Growth-implied net investment funds next-year NOPAT. Capital and FCFF extends depreciation and hardware renewal through 2036; a binding renewal floor increases actual reinvestment.</t>
  </si>
  <si>
    <t>Incremental returns use pre-acquired-amortisation NOPAT and net tangible reinvestment. Finite amortisation runoff and related tax benefits do not represent growth earned on new investment.</t>
  </si>
  <si>
    <t>Incremental return and reinvestment</t>
  </si>
  <si>
    <t>Return on new capital — next-year convention</t>
  </si>
  <si>
    <t>Next-year pre-amortisation NOPAT increase</t>
  </si>
  <si>
    <t>Growth-implied net investment before renewal floor</t>
  </si>
  <si>
    <t>Return supported by actual cash reinvestment</t>
  </si>
  <si>
    <t>Extra investment required by renewal floor</t>
  </si>
  <si>
    <t>Terminal FCFF change vs final transition</t>
  </si>
  <si>
    <t>Review large discontinuities; terminal reinvestment must cover a sustainable replacement burden.</t>
  </si>
  <si>
    <t>Terminal investment / final net investment</t>
  </si>
  <si>
    <t>A large decline requires an economic explanation, not just a formula transition.</t>
  </si>
  <si>
    <t>Terminal FCFF continuity</t>
  </si>
  <si>
    <t>Analyst review threshold, not an assertion of fair value.</t>
  </si>
  <si>
    <t>Construction-in-progress normalisation before the terminal period</t>
  </si>
  <si>
    <t>2031 closing assets not in service</t>
  </si>
  <si>
    <t>Normal level at historical commissioning rate</t>
  </si>
  <si>
    <t>Excess / (shortfall) versus normal</t>
  </si>
  <si>
    <t>Annual depreciation per commissioned dollar</t>
  </si>
  <si>
    <t>Depreciation normalisation</t>
  </si>
  <si>
    <t>Normalised 2031 operating margin</t>
  </si>
  <si>
    <t>Normalised 2031 NOPAT after acquired amortisation</t>
  </si>
  <si>
    <t>Build timing is normalised for the earnings baseline: depreciation is charged as if construction in progress were at its normal level of (1/rate − 0.5) years of CapEx. The asset schedule retains actual construction balances and scenario commissioning rates. The transition starts from the normalised margin before acquired amortisation (B55), then deducts the finite runoff schedule. The starting incremental return uses normalised pre-amortisation NOPAT (B59) and tangible reinvestment (B60), so legacy amortisation expiry does not create investment returns. The Base build is already near its normal level.</t>
  </si>
  <si>
    <t>Normalised margin before acquired amortisation</t>
  </si>
  <si>
    <t>Existing acquired amortisation</t>
  </si>
  <si>
    <t>NOPAT before acquired amortisation</t>
  </si>
  <si>
    <t>Cash tax benefit from acquired amortisation</t>
  </si>
  <si>
    <t>Normalised pre-amortisation NOPAT</t>
  </si>
  <si>
    <t>Normalised 2031 tangible reinvestment</t>
  </si>
  <si>
    <t>Alphabet | relative valuation and multiples-based sum of the parts</t>
  </si>
  <si>
    <t>USD millions. Valuation 25 October 2026; market closes 23 October. Latest available filings are used. EV adds financing and explicit settlement claims; excludes operating leases (rent remains in EBIT); deducts non-operating financial assets and retains 2% of revenue as operating cash. Book/face-value claims remain proxies.</t>
  </si>
  <si>
    <t>Peer valuation: 23 October 2026 market closes</t>
  </si>
  <si>
    <t>USD millions unless stated</t>
  </si>
  <si>
    <t>Alphabet</t>
  </si>
  <si>
    <t>Meta</t>
  </si>
  <si>
    <t>Microsoft</t>
  </si>
  <si>
    <t>Oracle</t>
  </si>
  <si>
    <t>Amazon (AWS benchmark)</t>
  </si>
  <si>
    <t>Period used</t>
  </si>
  <si>
    <t>TTM Jun 2026</t>
  </si>
  <si>
    <t>TTM Sep 2026</t>
  </si>
  <si>
    <t>FY Jun 2026</t>
  </si>
  <si>
    <t>TTM Aug 2026</t>
  </si>
  <si>
    <t>TTM Jun 2026 (AWS)</t>
  </si>
  <si>
    <t>Meta September and Oracle August are newly reported; Alphabet and AWS remain June, Microsoft FY June.</t>
  </si>
  <si>
    <t>Share price, 23 Oct 2026 close (USD)</t>
  </si>
  <si>
    <t>Google Finance dated 23 October closes: https://www.google.com/finance/quote/META:NASDAQ (MSFT, ORCL, AMZN same provider). Alphabet group cap from YCharts.</t>
  </si>
  <si>
    <t>Shares outstanding (millions)</t>
  </si>
  <si>
    <t>Latest filing cover shares: Meta 16 Oct (A+B); Microsoft 23 Jul; Oracle 7 Sep; Amazon Q2. Share-count carry-forwards may miss subsequent issuance/repurchases.</t>
  </si>
  <si>
    <t>Financing and settlement claims</t>
  </si>
  <si>
    <t>Meta: current/long debt + finance-lease ROU proxy + non-contingent settlement nominal proxy. Microsoft: notes 40,294 + finance leases 66,594. Oracle: current/long notes + finance leases + 4,954 preferred proxy + 424 NCI.</t>
  </si>
  <si>
    <t>Less: cash and marketable securities</t>
  </si>
  <si>
    <t>Meta 30 September; Microsoft 30 June; Oracle 31 August. Meta restricted cash is excluded from the non-operating credit.</t>
  </si>
  <si>
    <t>Less: non-marketable and equity investments</t>
  </si>
  <si>
    <t>Private/equity investment balances: Meta September, Microsoft June, Oracle August (primarily TikTok USDS). Carrying-value proxies.</t>
  </si>
  <si>
    <t>Add: operating cash reserve (2% of revenue)</t>
  </si>
  <si>
    <t>Same 2% reserve as Financial assets!B30.</t>
  </si>
  <si>
    <t>Enterprise value (Alphabet: market-implied operating EV)</t>
  </si>
  <si>
    <t>Amazon EV not computed: finance leases not collected and retail dominates; AWS used for operating comparison only.</t>
  </si>
  <si>
    <t>TTM = latest full year + current YTD − prior YTD. Meta 9 months; Oracle first quarter. Filing inputs sourced below.</t>
  </si>
  <si>
    <t>Revenue growth vs prior twelve months</t>
  </si>
  <si>
    <t>Same-period prior-TTM growth; Meta base reconciled below. Oracle FY2025 + Q1FY2026 − Q1FY2025; Alphabet/AWS prior bases unchanged.</t>
  </si>
  <si>
    <t>Operating income (EBIT)</t>
  </si>
  <si>
    <t>GAAP EBIT for peer table. Meta includes a 9,890 settlement charge; Services valuation uses separately normalised group/FoA EBIT, adding this charge back.</t>
  </si>
  <si>
    <t>Cash purchases of property and equipment</t>
  </si>
  <si>
    <t>Cash PP&amp;E purchases only, excluding lease additions. Meta 9-month and Oracle first-quarter TTM bridges; Microsoft FYJune. Oracle includes accelerated construction spending.</t>
  </si>
  <si>
    <t>Cash CapEx / revenue</t>
  </si>
  <si>
    <t>EV / EBIT</t>
  </si>
  <si>
    <t>Trailing multiple; Alphabet at its market-implied operating EV.</t>
  </si>
  <si>
    <t>DCF-implied EV / EBIT (Alphabet)</t>
  </si>
  <si>
    <t>Our Base operating EV over the same trailing EBIT.</t>
  </si>
  <si>
    <t>Segment benchmarks</t>
  </si>
  <si>
    <t>Growth</t>
  </si>
  <si>
    <t>EBIT</t>
  </si>
  <si>
    <t>Margin</t>
  </si>
  <si>
    <t>Alphabet Google Cloud (TTM Jun 2026)</t>
  </si>
  <si>
    <t>Prior TTM 49,192 (FY2024 43,229 + H1 2025 25,884 - H1 2024 19,921).</t>
  </si>
  <si>
    <t>Amazon Web Services (TTM Jun 2026)</t>
  </si>
  <si>
    <t>Amazon Q2 2026 release.</t>
  </si>
  <si>
    <t>Microsoft Intelligent Cloud (FY Jun 2026)</t>
  </si>
  <si>
    <t>Microsoft FY2026 Q4 release; segment includes server products and enterprise services.</t>
  </si>
  <si>
    <t>Oracle Cloud Infrastructure (FY May 2026)</t>
  </si>
  <si>
    <t>Oracle FY2026 Q4 release; segment profit not disclosed.</t>
  </si>
  <si>
    <t>Alphabet Google Services (TTM Jun 2026)</t>
  </si>
  <si>
    <t>Segment operating income before Alphabet-level costs.</t>
  </si>
  <si>
    <t>Meta Family of Apps (TTM Sep 2026)</t>
  </si>
  <si>
    <t>GAAP FoA EBIT. Add the disclosed 9,890 legal charge for the recurring-profit benchmark in B72.</t>
  </si>
  <si>
    <t>Multiples and inputs</t>
  </si>
  <si>
    <t>Low</t>
  </si>
  <si>
    <t>Central</t>
  </si>
  <si>
    <t>High</t>
  </si>
  <si>
    <t>Services EV/EBIT (Meta)</t>
  </si>
  <si>
    <t>Meta settlement charge added back to group/FoA EBIT, with its unpaid non-contingent claim added to EV. Low: Reality Labs worth zero; high: RL losses continue. This avoids capitalising the one-off charge as recurring.</t>
  </si>
  <si>
    <t>Cloud EV/EBIT (Microsoft, Oracle)</t>
  </si>
  <si>
    <t>Imperfect references: neither is a pure cloud business, and AWS has no separate market value. A growth premium is tested through the required multiple in row 60, not assumed.</t>
  </si>
  <si>
    <t>Cloud EBIT applied</t>
  </si>
  <si>
    <t>TTM Jun 2026; high case uses annualised H1 2026 EBIT (15,412 x 2), labelled as run-rate, not a forecast.</t>
  </si>
  <si>
    <t>Alphabet-level cost multiple (EBIT-weighted blend)</t>
  </si>
  <si>
    <t>Shared costs (TTM 21,541, mostly AI research) are deducted at the same blend of segment multiples; they are not allocated to segments, so they are counted once.</t>
  </si>
  <si>
    <t>Waymo post-money valuation, Feb 2026</t>
  </si>
  <si>
    <t>Waymo USD 16bn round (Waymo, 2026). A funding price is not a measure of intrinsic value.</t>
  </si>
  <si>
    <t>Alphabet ownership of Waymo</t>
  </si>
  <si>
    <t>Not disclosed; Alphabet is the majority investor. Range is analyst judgement.</t>
  </si>
  <si>
    <t>Waymo share of Other Bets losses</t>
  </si>
  <si>
    <t>Not disclosed; allocation sensitivity. The remainder belongs to residual ventures.</t>
  </si>
  <si>
    <t>Residual-venture loss horizon (years)</t>
  </si>
  <si>
    <t>Assumes continued investment for five years, then restructuring or closure; losses after tax at the 21% benchmark, discounted at WACC.</t>
  </si>
  <si>
    <t>Waymo cash inside the round value</t>
  </si>
  <si>
    <t>Cash already embedded in the February equity-round price, bounded by the 16bn equity raise. October loan proceeds and debt offset in the group bridge and are not deducted a second time.</t>
  </si>
  <si>
    <t>Sum of the parts</t>
  </si>
  <si>
    <t>TTM segment operating income x Services multiple.</t>
  </si>
  <si>
    <t>Cloud EBIT x Cloud multiple.</t>
  </si>
  <si>
    <t>Less: Alphabet-level costs</t>
  </si>
  <si>
    <t>TTM 21,541 x blended multiple.</t>
  </si>
  <si>
    <t>Waymo, attributable</t>
  </si>
  <si>
    <t>Post-money x ownership. Alphabet's share of Waymo cash is inside this value.</t>
  </si>
  <si>
    <t>Less: residual ventures</t>
  </si>
  <si>
    <t>Present value of residual Other Bets losses over the horizon.</t>
  </si>
  <si>
    <t>Value of parts before group bridge</t>
  </si>
  <si>
    <t>Mixes operating values with Waymo attributable equity, so it is not an operating EV and is not divided by consolidated EBIT.</t>
  </si>
  <si>
    <t>Add: non-operating assets</t>
  </si>
  <si>
    <t>Same credit as the DCF bridge.</t>
  </si>
  <si>
    <t>Less: all Waymo cash credited in the bridge</t>
  </si>
  <si>
    <t>The consolidated bridge credits 100% of Waymo cash: Alphabet's share is already in the attributable value and the outside share belongs to Waymo's other holders.</t>
  </si>
  <si>
    <t>Less: financing, settlement and NCI claims</t>
  </si>
  <si>
    <t>Same claims as the DCF, NCI included in full: the Waymo share of the 7,100 NCI is not disclosed, so this may overstate claims by up to 7,100.</t>
  </si>
  <si>
    <t>SOTP common equity value</t>
  </si>
  <si>
    <t>vs market capitalisation</t>
  </si>
  <si>
    <t>DCF common equity value</t>
  </si>
  <si>
    <t>Base DCF bridge.</t>
  </si>
  <si>
    <t>SOTP vs DCF</t>
  </si>
  <si>
    <t>Cloud EV/EBIT needed to reach market capitalisation (Services at peer multiple)</t>
  </si>
  <si>
    <t>Solves for the Cloud multiple with the shared-cost blend moving consistently. Which segment absorbs the premium depends on which one is held at its peer benchmark.</t>
  </si>
  <si>
    <t>Services EV/EBIT needed to reach market capitalisation (Cloud at peer multiple)</t>
  </si>
  <si>
    <t>Alternative allocation of the market premium with Cloud held at its peer benchmark; compare with current row 35, not a fixed historical multiple.</t>
  </si>
  <si>
    <t>Peer multiples measure relative pricing rather than intrinsic value. The SOTP tests the DCF against current market benchmarks; segment attribution of any premium depends on which benchmark is held fixed.</t>
  </si>
  <si>
    <t>Primary sources: Meta September 2026 10-Q and FY2025 10-K; Microsoft FY2026 annual report; Oracle August 2026 10-Q and FY2026 10-K; Amazon Q2 2026 release. Dated market quotes and calculation inputs below.</t>
  </si>
  <si>
    <t>Microsoft finance leases 66,594 verified in the FY2026 annual report lease note: https://www.sec.gov/Archives/edgar/data/789019/000119312526427876/d62902dars.pdf</t>
  </si>
  <si>
    <t>October update: normalisation and source reconciliation</t>
  </si>
  <si>
    <t>Meta Q3 2026 10-Q</t>
  </si>
  <si>
    <t>https://www.sec.gov/Archives/edgar/data/1326801/000162828026066773/meta-20260930.htm</t>
  </si>
  <si>
    <t>Oracle Q1 FY2027 10-Q</t>
  </si>
  <si>
    <t>https://www.sec.gov/Archives/edgar/data/1341439/000119312526389274/orcl-20260831.htm</t>
  </si>
  <si>
    <t>Meta non-recurring settlement EBIT charge</t>
  </si>
  <si>
    <t>Q3 included in Family of Apps costs; remove once from recurring earnings.</t>
  </si>
  <si>
    <t>Meta normalised TTM group EBIT</t>
  </si>
  <si>
    <t>Meta normalised TTM Family of Apps EBIT</t>
  </si>
  <si>
    <t>Meta non-current debt</t>
  </si>
  <si>
    <t>Meta current debt</t>
  </si>
  <si>
    <t>Meta finance-lease claim proxy</t>
  </si>
  <si>
    <t>Finance-lease ROU assets used as liability proxy where separate liability total is unavailable; not a disclosed lease liability.</t>
  </si>
  <si>
    <t>Meta non-contingent settlement claim proxy</t>
  </si>
  <si>
    <t>12,700 non-contingent payments +75 legal fees. Undiscounted nominal proxy; 5,300 conditional payments excluded. Higher than present value, conservatively raises EV.</t>
  </si>
  <si>
    <t>Meta prior nine-month revenue, 2024</t>
  </si>
  <si>
    <t>Meta prior TTM revenue</t>
  </si>
  <si>
    <t>Meta prior-period source</t>
  </si>
  <si>
    <t>https://investor.atmeta.com/investor-news/press-release-details/2025/Meta-Reports-Third-Quarter-2025-Results/default.aspx</t>
  </si>
  <si>
    <t>Meta normalised group EV/EBIT</t>
  </si>
  <si>
    <t>Meta settlement normalisation</t>
  </si>
  <si>
    <t>GAAP peer multiple is shown in row 21; normalised Services benchmark is row 35. Settlement claim and cost add-back are paired; they do not change Alphabet's own forecast.</t>
  </si>
  <si>
    <t>Alphabet | Monte Carlo inputs, evidence and correlations</t>
  </si>
  <si>
    <t>Each driver draws one triangular scenario position z ∈ [−1, +1], mode 0, mapped to its full Bear/Base/Bull path. The bounded shape favours the central judgement without assuming historically estimated volatility. Financial inputs need not themselves be triangular. Scenario anchors have no assigned probabilities; results are conditional on the model, ranges and copula. Details and robustness below.</t>
  </si>
  <si>
    <t>Driver (path H2 2026 → 2031 unless stated)</t>
  </si>
  <si>
    <t>Evidence anchoring the range</t>
  </si>
  <si>
    <t>Search growth</t>
  </si>
  <si>
    <t>10% → 3%</t>
  </si>
  <si>
    <t>17.9% → 8%</t>
  </si>
  <si>
    <t>22% → 12%</t>
  </si>
  <si>
    <t>FY2025 +13.4%; H1 2026 +17.9%; Bear converges to nominal-GDP growth</t>
  </si>
  <si>
    <t>Evidence-anchored</t>
  </si>
  <si>
    <t>YouTube advertising growth</t>
  </si>
  <si>
    <t>7% → 3%</t>
  </si>
  <si>
    <t>11.8% → 8%</t>
  </si>
  <si>
    <t>16% → 12%</t>
  </si>
  <si>
    <t>FY2025 +11.7%; H1 2026 +11.8%</t>
  </si>
  <si>
    <t>Network growth</t>
  </si>
  <si>
    <t>-8% → -5%</t>
  </si>
  <si>
    <t>-2.3% → -2%</t>
  </si>
  <si>
    <t>0% → 2%</t>
  </si>
  <si>
    <t>FY2025 -1.9%; H1 2026 -2.3%</t>
  </si>
  <si>
    <t>Subscriptions, platforms and devices growth</t>
  </si>
  <si>
    <t>8% → 4%</t>
  </si>
  <si>
    <t>17.2% → 9%</t>
  </si>
  <si>
    <t>20% → 13%</t>
  </si>
  <si>
    <t>FY2025 +19.1%; H1 2026 +17.2%</t>
  </si>
  <si>
    <t>Cloud demand growth</t>
  </si>
  <si>
    <t>45% → 6%</t>
  </si>
  <si>
    <t>73% → 12%</t>
  </si>
  <si>
    <t>85% → 18%</t>
  </si>
  <si>
    <t>H1 2026 +73%; USD 513.9bn backlog; AWS +27.5%, Microsoft Intelligent Cloud +29.7%, OCI +77% (TTM)</t>
  </si>
  <si>
    <t>Evidence-anchored; 2030-31 tail is judgement</t>
  </si>
  <si>
    <t>Cloud operating margin</t>
  </si>
  <si>
    <t>30% → 28%</t>
  </si>
  <si>
    <t>34.4% → 38%</t>
  </si>
  <si>
    <t>36% → 42%</t>
  </si>
  <si>
    <t>FY2025 23.7%, H1 2026 34.4%; AWS 36.8%, Microsoft Intelligent Cloud 41.3%</t>
  </si>
  <si>
    <t>Evidence-anchored (own history and peers)</t>
  </si>
  <si>
    <t>CapEx / planned revenue (2027 → 2031)</t>
  </si>
  <si>
    <t>38% → 27%</t>
  </si>
  <si>
    <t>35% → 22%</t>
  </si>
  <si>
    <t>36% → 23%</t>
  </si>
  <si>
    <t>TTM 29.7%; peers' cash CapEx 35-83% of revenue. Both scenario rows are larger builds, so the distribution is skewed above Base</t>
  </si>
  <si>
    <t>Judgement anchored to peers</t>
  </si>
  <si>
    <t>Commissioning rate</t>
  </si>
  <si>
    <t>Proxies: 2024 60.4%, 2025 65.9%, H1 2026 61.2%</t>
  </si>
  <si>
    <t>Wider than history: judgement</t>
  </si>
  <si>
    <t>New hardware life</t>
  </si>
  <si>
    <t>4 years</t>
  </si>
  <si>
    <t>5 years</t>
  </si>
  <si>
    <t>6 years</t>
  </si>
  <si>
    <t>Alphabet depreciates servers over six years; accelerators may become obsolete sooner</t>
  </si>
  <si>
    <t>Policy-anchored judgement</t>
  </si>
  <si>
    <t>TAC partner pricing (change in TAC rate)</t>
  </si>
  <si>
    <t>+0.25 → +0.5pp</t>
  </si>
  <si>
    <t>-0.25 → -0.5pp</t>
  </si>
  <si>
    <t>Search-distribution terms under antitrust remedies (U.S. Department of Justice, 2025)</t>
  </si>
  <si>
    <t>Judgement</t>
  </si>
  <si>
    <t>AI serving unit-cost improvement (annual)</t>
  </si>
  <si>
    <t>Management reports falling Gemini serving costs; no cost per query disclosed</t>
  </si>
  <si>
    <t>AI workload growth per revenue dollar (annual)</t>
  </si>
  <si>
    <t>Adoption of AI search features; not disclosed. Both alternatives exceed Base</t>
  </si>
  <si>
    <t>Shared research: elasticity (H2 2026 growth)</t>
  </si>
  <si>
    <t>1.10 (20%)</t>
  </si>
  <si>
    <t>0.80 (10%)</t>
  </si>
  <si>
    <t>0.65 (5%)</t>
  </si>
  <si>
    <t>Alphabet-level costs rose 75% in H1 2026 (USD 11.2bn vs 6.4bn)</t>
  </si>
  <si>
    <t>Other Bets: revenue growth / cost growth</t>
  </si>
  <si>
    <t>0% / 25% → 10%</t>
  </si>
  <si>
    <t>10% / 15% → 5%</t>
  </si>
  <si>
    <t>25% → 20% / 10% → 0%</t>
  </si>
  <si>
    <t>FY2025 revenue -6.7%, losses +69%</t>
  </si>
  <si>
    <t>Customer-funding stress on a 20% exposure: deferral / new-business cut</t>
  </si>
  <si>
    <t>25% / 35%</t>
  </si>
  <si>
    <t>5% / 10%</t>
  </si>
  <si>
    <t>0% / 0%</t>
  </si>
  <si>
    <t>USD 20bn conditional commitment to a private company; Anthropic capacity from 2027</t>
  </si>
  <si>
    <t>Terminal return ceiling (also capped at each scenario's starting return)</t>
  </si>
  <si>
    <t>The ceiling also cannot exceed the scenario's initial incremental return: Base starts at 20.1%, full Bear at 3.6%. Thus Bear terminal returns remain well below WACC.</t>
  </si>
  <si>
    <t>Theory-anchored judgement</t>
  </si>
  <si>
    <t>Theory-anchored</t>
  </si>
  <si>
    <t>Latent Gaussian correlations (copula)</t>
  </si>
  <si>
    <t>ρ</t>
  </si>
  <si>
    <t>Rationale</t>
  </si>
  <si>
    <t>Search - YouTube</t>
  </si>
  <si>
    <t>Common advertising cycle</t>
  </si>
  <si>
    <t>Search - Subscriptions</t>
  </si>
  <si>
    <t>Shared consumer engagement</t>
  </si>
  <si>
    <t>YouTube - Subscriptions</t>
  </si>
  <si>
    <t>YouTube Premium and TV sit in subscriptions</t>
  </si>
  <si>
    <t>Search - Network</t>
  </si>
  <si>
    <t>Same advertiser budgets</t>
  </si>
  <si>
    <t>Cloud demand - Cloud margin</t>
  </si>
  <si>
    <t>Operating leverage on fixed capacity</t>
  </si>
  <si>
    <t>Cloud demand - CapEx intensity</t>
  </si>
  <si>
    <t>Capacity is built to demand</t>
  </si>
  <si>
    <t>Cloud demand - Commissioning</t>
  </si>
  <si>
    <t>Strong demand pulls capacity into service</t>
  </si>
  <si>
    <t>Cloud demand - Customer-funding stress</t>
  </si>
  <si>
    <t>AI customers' financing moves with AI demand</t>
  </si>
  <si>
    <t>Cloud margin - Terminal return</t>
  </si>
  <si>
    <t>Durable pricing power</t>
  </si>
  <si>
    <t>Search - Terminal return</t>
  </si>
  <si>
    <t>Persistence of the core moat</t>
  </si>
  <si>
    <t>Robustness (10,000 trials, operating EV, USD tn)</t>
  </si>
  <si>
    <t>P10</t>
  </si>
  <si>
    <t>P50</t>
  </si>
  <si>
    <t>P90</t>
  </si>
  <si>
    <t>Trials at or above market-implied EV (3.75tn)</t>
  </si>
  <si>
    <t>Maximum trial</t>
  </si>
  <si>
    <t>As specified</t>
  </si>
  <si>
    <t>No correlations</t>
  </si>
  <si>
    <t>Correlations x1.3</t>
  </si>
  <si>
    <t>WACC also uncertain, ±1pp triangular</t>
  </si>
  <si>
    <t>WACC also uncertain, ±2pp triangular</t>
  </si>
  <si>
    <t>10,000 valid trials per run, seed 7. Fourteen ±2pp WACC trials exceed market EV (0.14% conditional frequency); none for ±1pp, uniform, independent or stronger-correlation runs. Reproduce with robustness.py.</t>
  </si>
  <si>
    <t>Sources: Historical base and Relative valuation tabs; Alphabet Inc. (2026a, 2026c); peer filings listed in Relative valuation. Python files: alphabet_model.py and monte_carlo.py.</t>
  </si>
  <si>
    <t>Uniform scenario positions</t>
  </si>
  <si>
    <t>Deterministic scenario (USD bn)</t>
  </si>
  <si>
    <t>Initial return</t>
  </si>
  <si>
    <t>Terminal return</t>
  </si>
  <si>
    <t>25 October 2026 valuation; 23 October market closes. WACC 9.3831%. Bear/Base/Bull tested against the live worksheet and matched Python. Full scenarios also change inventory; they are not Monte Carlo percentiles.</t>
  </si>
  <si>
    <t>Distribution choice and probability interpretation</t>
  </si>
  <si>
    <t>Triangular positions give greater weight near Base. Uniform positions test equal density across z, using the same seed, latent draws and copula. Normal inputs would require supported dispersion and allow unbounded tails; truncated normal requires dispersion plus bounds. Capping normal draws is not the same as truncating them.</t>
  </si>
  <si>
    <t>No 25/50/25 or other Bear/Base/Bull probabilities are imposed. Each driver's z has half its mass on either side of zero; this is not the probability of a whole scenario. Frequency = qualifying valid trials / all valid trials. P10/P50/P90 are output percentiles, not scenario labels or calibrated real-world probabilities.</t>
  </si>
  <si>
    <t>One position per driver applies throughout its forecast path, not new annual draws. Asymmetric paths are mapped piecewise: e.g., terminal growth 2%/3%/3.5% has 50% of positions on each side of Base, unlike a standard triangular distribution in growth units. CapEx and AI workload rise on both sides of Base; the numeric inputs are not symmetric. Copula coefficients are latent-normal correlations, not exact Pearson correlations of financial inputs.</t>
  </si>
  <si>
    <t>Shape test reproduced with robustness.py: uniform positions change the marginal shape only, using the same seed and latent copula draws. Outputs refreshed for the 25 October 2026 valuation.</t>
  </si>
  <si>
    <t>Alphabet | non-operating assets and valuation-date cash bridge</t>
  </si>
  <si>
    <t>USD millions. Disclosed carrying values are separated from tax-basis estimates and valuation adjustments. Blank tax bases remain unresolved.</t>
  </si>
  <si>
    <t>Selected operating case</t>
  </si>
  <si>
    <t>Investment / category</t>
  </si>
  <si>
    <t>Value / marked estimate</t>
  </si>
  <si>
    <t>Tax basis input</t>
  </si>
  <si>
    <t>Tax rate</t>
  </si>
  <si>
    <t>Value haircut</t>
  </si>
  <si>
    <t>Adjusted value</t>
  </si>
  <si>
    <t>Tax deduction</t>
  </si>
  <si>
    <t>Net credit</t>
  </si>
  <si>
    <t>Basis / limitation</t>
  </si>
  <si>
    <t>Marketable debt</t>
  </si>
  <si>
    <t>Fair value from maturity/recurring-value tables. Tax basis is not the USD 116,454m from the differently scoped AOCI table.</t>
  </si>
  <si>
    <t>SpaceX — current</t>
  </si>
  <si>
    <t>Short-term sale restrictions; tax basis not separately disclosed. Fair-value mark is not the amount of taxable gain.</t>
  </si>
  <si>
    <t>Other current marketable equities</t>
  </si>
  <si>
    <t>Residual of USD 87,063m current equities less USD 80,000m SpaceX. Portfolio aggregate, not individual holdings.</t>
  </si>
  <si>
    <t>SpaceX — non-current</t>
  </si>
  <si>
    <t>Reported non-current marketable equities include USD 14.1bn SpaceX restricted through Q3 2027. Other non-current assets, not non-marketable securities.</t>
  </si>
  <si>
    <t>Private equities — measurement alternative</t>
  </si>
  <si>
    <t>Initial accounting cost used only as a provisional tax-basis proxy. Subject to entity, jurisdiction and disposal structure.</t>
  </si>
  <si>
    <t>Equity-method investments and other</t>
  </si>
  <si>
    <t>Separate portfolio category; carrying value and tax basis require review.</t>
  </si>
  <si>
    <t>Total investment credit</t>
  </si>
  <si>
    <t>Tax is assessed on adjusted disposal proceeds less tax basis; no automatic tax benefit for losses.</t>
  </si>
  <si>
    <t>Tax-basis sensitivity</t>
  </si>
  <si>
    <t>Interpretation</t>
  </si>
  <si>
    <t>All investments: no additional gains tax</t>
  </si>
  <si>
    <t>Upper credit under the selected valuation haircuts; not a tax conclusion.</t>
  </si>
  <si>
    <t>All investments: zero tax basis</t>
  </si>
  <si>
    <t>Lower credit under a 21% gain-tax stress; not a forecast and not a floor against investment losses.</t>
  </si>
  <si>
    <t>AOCI scope reconciliation</t>
  </si>
  <si>
    <t>Adjusted cost excluding time deposits</t>
  </si>
  <si>
    <t>Different scope from current marketable debt: includes eligible cash equivalents; fair-value-option holdings differ.</t>
  </si>
  <si>
    <t>Fair value excluding time deposits</t>
  </si>
  <si>
    <t>Compare only with row 21; not with current marketable debt of 99,500.</t>
  </si>
  <si>
    <t>Matched-scope accounting loss</t>
  </si>
  <si>
    <t>Does not establish tax basis or taxable gains for the separately classified current portfolio.</t>
  </si>
  <si>
    <t>June-to-25 October cash bridge</t>
  </si>
  <si>
    <t>Basis / assumption</t>
  </si>
  <si>
    <t>June cash and cash equivalents</t>
  </si>
  <si>
    <t>Reported balance; includes debt instruments classified as cash equivalents.</t>
  </si>
  <si>
    <t>Known July Android settlement</t>
  </si>
  <si>
    <t>Cash payment reduces both cash and accrued legal claims.</t>
  </si>
  <si>
    <t>Modelled elapsed H2 FCFF</t>
  </si>
  <si>
    <t>Full H2 model FCFF less the remaining 25 October–December stub; estimated accrual of operating cash flows, not reported October cash.</t>
  </si>
  <si>
    <t>Required operating cash / TTM revenue</t>
  </si>
  <si>
    <t>Provisional 2% liquidity reserve; analyst assumption to sensitivity-test, not company guidance.</t>
  </si>
  <si>
    <t>Reserve calculated on TTM sales; excluded from credited excess cash.</t>
  </si>
  <si>
    <t>Known-event excess cash subtotal</t>
  </si>
  <si>
    <t>June cash adjusted only for the known July settlement and operating reserve; incomplete-date sensitivity.</t>
  </si>
  <si>
    <t>Valuation-date excess cash</t>
  </si>
  <si>
    <t>June cash + known settlement + modelled elapsed FCFF + Waymo loan − preferred dividend − estimated common dividend. Unknown financing/repurchases remain a proxy; not a reported October balance.</t>
  </si>
  <si>
    <t>June accrued legal claims</t>
  </si>
  <si>
    <t>Carrying-value proxy; settlement timing, appeals and tax effects remain judgemental.</t>
  </si>
  <si>
    <t>July claim extinguished</t>
  </si>
  <si>
    <t>Same payment as row 28, with opposite bridge sign.</t>
  </si>
  <si>
    <t>Unpaid legal claim proxy</t>
  </si>
  <si>
    <t>Feeds financing/minority/settlement claims; excluded from recurring NOWC.</t>
  </si>
  <si>
    <t>Known-event asset-credit sensitivity</t>
  </si>
  <si>
    <t>No gains tax</t>
  </si>
  <si>
    <t>Known-event cash plus investment credit; excludes modelled elapsed cash and October financing.</t>
  </si>
  <si>
    <t>Zero tax basis stress</t>
  </si>
  <si>
    <t>Same investment haircuts; zero tax basis stress, not a full October bridge.</t>
  </si>
  <si>
    <t>Additional non-operating assets</t>
  </si>
  <si>
    <t>Value input</t>
  </si>
  <si>
    <t>Capped-call hedge value</t>
  </si>
  <si>
    <t>Premium paid is not current fair value. Separate claim offset only when valued; no automatic credit.</t>
  </si>
  <si>
    <t>GFiber disposal interest / other assets</t>
  </si>
  <si>
    <t>Only add if corresponding operations are removed from the DCF; otherwise a second credit would duplicate value.</t>
  </si>
  <si>
    <t>Source</t>
  </si>
  <si>
    <t>https://www.sec.gov/Archives/edgar/data/1652044/000165204426000071/goog-20260630.htm</t>
  </si>
  <si>
    <t>Valuation haircuts currently default to zero as a neutral starting point, not a conclusion that restrictions are costless. Tax-basis stresses keep unresolved information visible.</t>
  </si>
  <si>
    <t>Deferred tax is not also deducted as a blanket financing claim. Investment-level adjustments must still be reconciled with relevant tax liabilities and settlement timing.</t>
  </si>
  <si>
    <t>Conditional customer / investee financing</t>
  </si>
  <si>
    <t>Disclosed contingent funding through 2030</t>
  </si>
  <si>
    <t>The filing does not name the private counterparty. Do not assert an Anthropic allocation.</t>
  </si>
  <si>
    <t>Scenario probability of funding</t>
  </si>
  <si>
    <t>Milestone-dependent draw stress, not a company probability.</t>
  </si>
  <si>
    <t>Scenario cash funding exposure</t>
  </si>
  <si>
    <t>Gross funding obtains investment rights. Net valuation impact awaits reconciliation with existing derivatives and acquired interests.</t>
  </si>
  <si>
    <t>Annual funding</t>
  </si>
  <si>
    <t>Illustrative cash outlay</t>
  </si>
  <si>
    <t>Even timing assumption, not a contractual maturity schedule.</t>
  </si>
  <si>
    <t>Portfolio haircut and Cloud funding pressures use the same scenario selector. They affect distinct assets/cash flows; neither proves circular revenue or fraud.</t>
  </si>
  <si>
    <t>No blanket subtraction of funding is added to operating FCFF. The bridge uses proxy tax bases and book-value NCI; contingent funding rights receive no separate credit (disclosed approximations).</t>
  </si>
  <si>
    <t>25 October refresh: market marks and cash movements</t>
  </si>
  <si>
    <t>SpaceX June 30 close (USD)</t>
  </si>
  <si>
    <t>https://finance.yahoo.com/quote/SPCX/history/</t>
  </si>
  <si>
    <t>SpaceX October 23 close (USD)</t>
  </si>
  <si>
    <t>https://www.google.com/finance/quote/SPCX:NASDAQ</t>
  </si>
  <si>
    <t>Holding assumption</t>
  </si>
  <si>
    <t>Unchanged share quantities</t>
  </si>
  <si>
    <t>June current/non-current classification retained; restricted shares still carry sale restrictions. Market mark assumes no intervening trades.</t>
  </si>
  <si>
    <t>SpaceX mark / June mark</t>
  </si>
  <si>
    <t>Applied to June disclosed current and non-current holdings; tax bases unchanged.</t>
  </si>
  <si>
    <t>Waymo October term loan proceeds</t>
  </si>
  <si>
    <t>Closed 8 October; add cash and debt equally. https://blog.waymo.com/blog/2026/10/waymo-closes-5-billion-debt-financing/</t>
  </si>
  <si>
    <t>August preferred dividend</t>
  </si>
  <si>
    <t>385m depositary shares /20 × USD12.15 preferred-share first dividend, paid August 15; Q2 Note 11.</t>
  </si>
  <si>
    <t>September common dividend estimate</t>
  </si>
  <si>
    <t>USD0.22/share declared for September 14. June quarterly cash amount used as proxy because later actual total is not yet reported; Q2 Note 11/equity statement.</t>
  </si>
  <si>
    <t>Other post-June financing / repurchases</t>
  </si>
  <si>
    <t>Unobserved net movements held at zero, not asserted to be absent. Refresh with Q3 filing; settlement, dividends and Waymo financing treated separately.</t>
  </si>
  <si>
    <t>Alphabet | historical baseline</t>
  </si>
  <si>
    <t>USD millions. Financial statements retain their reported basis; derived periods are calculated here.</t>
  </si>
  <si>
    <t>Operating history</t>
  </si>
  <si>
    <t>FY2024</t>
  </si>
  <si>
    <t>FY2025</t>
  </si>
  <si>
    <t>H1 2025</t>
  </si>
  <si>
    <t>H1 2026</t>
  </si>
  <si>
    <t>Subscriptions / platforms / devices</t>
  </si>
  <si>
    <t>Hedging gains / losses</t>
  </si>
  <si>
    <t>Consolidated revenue</t>
  </si>
  <si>
    <t>Revenue segment reconciliation</t>
  </si>
  <si>
    <t>Operating profitability</t>
  </si>
  <si>
    <t>Services operating profit</t>
  </si>
  <si>
    <t>Cloud operating profit</t>
  </si>
  <si>
    <t>Other Bets operating profit / loss</t>
  </si>
  <si>
    <t>Alphabet-level operating loss</t>
  </si>
  <si>
    <t>EBIT segment reconciliation</t>
  </si>
  <si>
    <t>Services operating margin</t>
  </si>
  <si>
    <t>Consolidated margin</t>
  </si>
  <si>
    <t>Cloud revenue share</t>
  </si>
  <si>
    <t>NOPAT (21% benchmark)</t>
  </si>
  <si>
    <t>Reported cash generation</t>
  </si>
  <si>
    <t>Operating cash flow</t>
  </si>
  <si>
    <t>Reported FCF</t>
  </si>
  <si>
    <t>SBC</t>
  </si>
  <si>
    <t>FCF less SBC</t>
  </si>
  <si>
    <t>PP&amp;E depreciation</t>
  </si>
  <si>
    <t>Net income</t>
  </si>
  <si>
    <t>Deferred tax adjustment</t>
  </si>
  <si>
    <t>Investment gain / loss reversal</t>
  </si>
  <si>
    <t>Other non-cash adjustment (unclassified)</t>
  </si>
  <si>
    <t>Receivable cash movement</t>
  </si>
  <si>
    <t>Inventory cash movement</t>
  </si>
  <si>
    <t>Other asset cash movement</t>
  </si>
  <si>
    <t>Payable cash movement</t>
  </si>
  <si>
    <t>Accrued liability cash movement</t>
  </si>
  <si>
    <t>Revenue-share cash movement</t>
  </si>
  <si>
    <t>Deferred-revenue cash movement</t>
  </si>
  <si>
    <t>Cash movement proxy, excluding tax</t>
  </si>
  <si>
    <t>Income-tax cash movement</t>
  </si>
  <si>
    <t>Reconstructed operating cash flow</t>
  </si>
  <si>
    <t>Reported OCF reconciliation</t>
  </si>
  <si>
    <t>FCFF proxy before classification review</t>
  </si>
  <si>
    <t>Bridge from reported FCF to proxy</t>
  </si>
  <si>
    <t>FCFF proxy bridge difference</t>
  </si>
  <si>
    <t>FCFF proxy is not a final adjusted FCFF: Other and other asset/liability movements require operating/non-operating classification.</t>
  </si>
  <si>
    <t>SBC remains an expense. Do not add it back to forecast NOPAT. No balance-sheet capital change is substituted for cash CapEx.</t>
  </si>
  <si>
    <t>Capital employed</t>
  </si>
  <si>
    <t>Dec 2024</t>
  </si>
  <si>
    <t>Jun 2025</t>
  </si>
  <si>
    <t>Dec 2025</t>
  </si>
  <si>
    <t>Jun 2026</t>
  </si>
  <si>
    <t>Non-cash current assets</t>
  </si>
  <si>
    <t>Current liabilities</t>
  </si>
  <si>
    <t>Financing/tax/lease/CapEx exclusions</t>
  </si>
  <si>
    <t>Adjusted operating current liabilities</t>
  </si>
  <si>
    <t>Operating working-capital proxy</t>
  </si>
  <si>
    <t>Net PP&amp;E</t>
  </si>
  <si>
    <t>Tangible operating capital</t>
  </si>
  <si>
    <t>Assets not in service</t>
  </si>
  <si>
    <t>Net PP&amp;E in service</t>
  </si>
  <si>
    <t>Not-in-service share</t>
  </si>
  <si>
    <t>Return on tangible capital</t>
  </si>
  <si>
    <t>FY2025, forecast basis</t>
  </si>
  <si>
    <t>TTM Jun26, forecast basis</t>
  </si>
  <si>
    <t>Legal accrual and held-for-sale inputs</t>
  </si>
  <si>
    <t>USD m</t>
  </si>
  <si>
    <t>Accrued fines and settlements, Dec 2024 (FY2025 10-K recast)</t>
  </si>
  <si>
    <t>Opening capital</t>
  </si>
  <si>
    <t>EC fines plus privacy settlement, Jun 2025 (Q2 2025 10-Q; lower bound)</t>
  </si>
  <si>
    <t>Closing capital</t>
  </si>
  <si>
    <t>Accrued fines and settlements, Dec 2025</t>
  </si>
  <si>
    <t>Average capital</t>
  </si>
  <si>
    <t>Accrued fines and settlements, Jun 2026</t>
  </si>
  <si>
    <t>After-tax tangible return</t>
  </si>
  <si>
    <t>GFiber held-for-sale PP&amp;E, Jun 2026</t>
  </si>
  <si>
    <t>Published proxy remains in B:C. Forecast-basis D:E excludes legal accruals and held-for-sale PP&amp;E and includes the required cash reserve; changes in balance-sheet capital are not cash reinvestment.</t>
  </si>
  <si>
    <t>Report reconciliation</t>
  </si>
  <si>
    <t>FY2025 difference</t>
  </si>
  <si>
    <t>TTM difference</t>
  </si>
  <si>
    <t>Five-year trajectory</t>
  </si>
  <si>
    <t>FY2021</t>
  </si>
  <si>
    <t>FY2022</t>
  </si>
  <si>
    <t>FY2023</t>
  </si>
  <si>
    <t>Four-year CAGR</t>
  </si>
  <si>
    <t>Operating income</t>
  </si>
  <si>
    <t>Services revenue</t>
  </si>
  <si>
    <t>Services EBIT</t>
  </si>
  <si>
    <t>Cloud revenue</t>
  </si>
  <si>
    <t>Cloud EBIT</t>
  </si>
  <si>
    <t>Required operating cash (USD m)</t>
  </si>
  <si>
    <t>Annual / TTM revenue</t>
  </si>
  <si>
    <t>Required cash at bridge reserve ratio</t>
  </si>
  <si>
    <t>H1 2024 revenue (source input)</t>
  </si>
  <si>
    <t>Historical FCFF classification (USD m)</t>
  </si>
  <si>
    <t>NOPAT at common 21% tax benchmark</t>
  </si>
  <si>
    <t>Identifiable operating cash movements</t>
  </si>
  <si>
    <t>Subtotal before unallocated items</t>
  </si>
  <si>
    <t>Other non-cash adjustments (unallocated)</t>
  </si>
  <si>
    <t>Other asset cash movements (mixed)</t>
  </si>
  <si>
    <t>Accrued liability movements (mixed)</t>
  </si>
  <si>
    <t>Unallocated residual</t>
  </si>
  <si>
    <t>Historical FCFF proxy before reserve</t>
  </si>
  <si>
    <t>Increase in required cash reserve</t>
  </si>
  <si>
    <t>FCFF proxy after required cash funding</t>
  </si>
  <si>
    <t>Bridge check (must equal zero)</t>
  </si>
  <si>
    <t>Identifiable movements include receivables, inventory, payables, revenue share and deferred revenue. Other non-cash items, other assets and accrued liabilities remain mixed; the residual is not assumed entirely recurring.</t>
  </si>
  <si>
    <t>The proxy uses standardised operating tax, retains SBC expense and removes separately disclosed investment gains and financing effects through the earnings-to-OCF bridge (rows 58–60). It is not a fully classified historical FCFF measure.</t>
  </si>
  <si>
    <t>Required operating cash is an analyst reserve assumption, not a disclosed restricted-cash balance. Rows 134–135 show its funding separately; reported OCF minus CapEx is unchanged.</t>
  </si>
  <si>
    <t>Income statement</t>
  </si>
  <si>
    <t>USD millions except earnings per share. Q4 filing columns contain full-year 10-K totals.</t>
  </si>
  <si>
    <t>Reported line item</t>
  </si>
  <si>
    <t>Q3:24</t>
  </si>
  <si>
    <t>Q4:24</t>
  </si>
  <si>
    <t>Q1:25</t>
  </si>
  <si>
    <t>Q2:25</t>
  </si>
  <si>
    <t>Q3:25</t>
  </si>
  <si>
    <t>Q4:25</t>
  </si>
  <si>
    <t>Q1:26</t>
  </si>
  <si>
    <t>Q2:26</t>
  </si>
  <si>
    <t>Reporting basis</t>
  </si>
  <si>
    <t>3 months</t>
  </si>
  <si>
    <t>full year</t>
  </si>
  <si>
    <t>Revenues</t>
  </si>
  <si>
    <t>Operating expenses and profit</t>
  </si>
  <si>
    <t>Cost of revenues</t>
  </si>
  <si>
    <t>Research and development</t>
  </si>
  <si>
    <t>Sales and marketing</t>
  </si>
  <si>
    <t>General and administrative</t>
  </si>
  <si>
    <t>Total costs and expenses</t>
  </si>
  <si>
    <t>Income from operations</t>
  </si>
  <si>
    <t>Other income and tax</t>
  </si>
  <si>
    <t>Other income (expense), net</t>
  </si>
  <si>
    <t>Income before income taxes</t>
  </si>
  <si>
    <t>Provision for income taxes</t>
  </si>
  <si>
    <t>Common shareholder results</t>
  </si>
  <si>
    <t>Preferred stock dividends</t>
  </si>
  <si>
    <t>Net income available to common stockholders</t>
  </si>
  <si>
    <t>Basic EPS</t>
  </si>
  <si>
    <t>Diluted EPS</t>
  </si>
  <si>
    <t>Balance sheet</t>
  </si>
  <si>
    <t>USD millions. Each column is a point-in-time balance at the filing date.</t>
  </si>
  <si>
    <t>2024-09-30</t>
  </si>
  <si>
    <t>2024-12-31</t>
  </si>
  <si>
    <t>2025-03-31</t>
  </si>
  <si>
    <t>2025-06-30</t>
  </si>
  <si>
    <t>2025-09-30</t>
  </si>
  <si>
    <t>2025-12-31</t>
  </si>
  <si>
    <t>2026-03-31</t>
  </si>
  <si>
    <t>2026-06-30</t>
  </si>
  <si>
    <t>Current assets</t>
  </si>
  <si>
    <t>Cash and cash equivalents</t>
  </si>
  <si>
    <t>Marketable securities</t>
  </si>
  <si>
    <t>Total cash, cash equivalents, and marketable securities</t>
  </si>
  <si>
    <t>Accounts receivable, net</t>
  </si>
  <si>
    <t>Other current assets</t>
  </si>
  <si>
    <t>Total current assets</t>
  </si>
  <si>
    <t>Non-current assets</t>
  </si>
  <si>
    <t>Non-marketable securities</t>
  </si>
  <si>
    <t>Deferred income taxes (asset)</t>
  </si>
  <si>
    <t>Property and equipment, net</t>
  </si>
  <si>
    <t>Operating lease assets</t>
  </si>
  <si>
    <t>Goodwill</t>
  </si>
  <si>
    <t>Intangible assets, net</t>
  </si>
  <si>
    <t>Other non-current assets</t>
  </si>
  <si>
    <t>Total assets</t>
  </si>
  <si>
    <t>Accounts payable</t>
  </si>
  <si>
    <t>Accrued compensation and benefits</t>
  </si>
  <si>
    <t>Accrued expenses and other current liabilities</t>
  </si>
  <si>
    <t>Total current liabilities</t>
  </si>
  <si>
    <t>Non-current liabilities</t>
  </si>
  <si>
    <t>Long-term debt</t>
  </si>
  <si>
    <t>Deferred revenue, non-current</t>
  </si>
  <si>
    <t>Income taxes payable, non-current</t>
  </si>
  <si>
    <t>Deferred income taxes (liability)</t>
  </si>
  <si>
    <t>Operating lease liabilities</t>
  </si>
  <si>
    <t>Other long-term liabilities</t>
  </si>
  <si>
    <t>Total liabilities</t>
  </si>
  <si>
    <t>Equity</t>
  </si>
  <si>
    <t>Preferred stock and additional paid-in capital</t>
  </si>
  <si>
    <t>Class A/B/C stock and additional paid-in capital</t>
  </si>
  <si>
    <t>Accumulated other comprehensive income (loss)</t>
  </si>
  <si>
    <t>Retained earnings</t>
  </si>
  <si>
    <t>Total stockholders' equity</t>
  </si>
  <si>
    <t>Total liabilities and stockholders' equity</t>
  </si>
  <si>
    <t>Cash flow and FCF inputs</t>
  </si>
  <si>
    <t>Reported cash flows, USD millions. Q2/Q3 columns are year-to-date; Q4 filing columns are full year. No FCF is calculated.</t>
  </si>
  <si>
    <t>9 months</t>
  </si>
  <si>
    <t>6 months</t>
  </si>
  <si>
    <t>Operating activities</t>
  </si>
  <si>
    <t>Depreciation of property and equipment</t>
  </si>
  <si>
    <t>Stock-based compensation expense</t>
  </si>
  <si>
    <t>Deferred income taxes</t>
  </si>
  <si>
    <t>Loss (gain) on debt and equity securities, net</t>
  </si>
  <si>
    <t>Other</t>
  </si>
  <si>
    <t>Income taxes, net</t>
  </si>
  <si>
    <t>Other assets</t>
  </si>
  <si>
    <t>Accrued expenses and other liabilities</t>
  </si>
  <si>
    <t>Net cash from operating activities</t>
  </si>
  <si>
    <t>Investing activities</t>
  </si>
  <si>
    <t>Purchases of property and equipment</t>
  </si>
  <si>
    <t>Purchases of marketable securities</t>
  </si>
  <si>
    <t>Maturities and sales of marketable securities</t>
  </si>
  <si>
    <t>Purchases of non-marketable securities</t>
  </si>
  <si>
    <t>Maturities and sales of non-marketable securities</t>
  </si>
  <si>
    <t>Acquisitions, net of cash acquired, and purchases of intangible assets</t>
  </si>
  <si>
    <t>Other investing activities</t>
  </si>
  <si>
    <t>Net cash from investing activities</t>
  </si>
  <si>
    <t>Financing activities</t>
  </si>
  <si>
    <t>Net payments related to stock-based award activities</t>
  </si>
  <si>
    <t>Repurchases of stock</t>
  </si>
  <si>
    <t>Dividend payments</t>
  </si>
  <si>
    <t>Proceeds from issuance of common stock, net of costs</t>
  </si>
  <si>
    <t>Proceeds from issuance of mandatory convertible preferred stock, net of costs</t>
  </si>
  <si>
    <t>Proceeds from issuance of debt, net of costs</t>
  </si>
  <si>
    <t>Repayments of debt</t>
  </si>
  <si>
    <t>Proceeds from sale of interest in consolidated entities, net</t>
  </si>
  <si>
    <t>Other financing activities</t>
  </si>
  <si>
    <t>Net cash from financing activities</t>
  </si>
  <si>
    <t>Cash reconciliation and supplemental</t>
  </si>
  <si>
    <t>Effect of exchange rate changes on cash and cash equivalents</t>
  </si>
  <si>
    <t>Net increase (decrease) in cash and cash equivalents</t>
  </si>
  <si>
    <t>Cash and cash equivalents at beginning of period</t>
  </si>
  <si>
    <t>Cash and cash equivalents at end of period</t>
  </si>
  <si>
    <t>Property and equipment included in accrued liabilities and accounts payable</t>
  </si>
  <si>
    <t>Revenue breakdown</t>
  </si>
  <si>
    <t>USD millions. Product lines are reported for three months except full-year 10-K columns.</t>
  </si>
  <si>
    <t>Google Search &amp; other</t>
  </si>
  <si>
    <t>YouTube ads</t>
  </si>
  <si>
    <t>Google advertising</t>
  </si>
  <si>
    <t>Google subscriptions, platforms, and devices</t>
  </si>
  <si>
    <t>Google Services total</t>
  </si>
  <si>
    <t>Other segments and total</t>
  </si>
  <si>
    <t>Hedging gains (losses)</t>
  </si>
  <si>
    <t>Total revenues</t>
  </si>
  <si>
    <t>Segment breakdown</t>
  </si>
  <si>
    <t>USD millions. Segment results include allocated costs; Q4 filing columns contain full-year totals.</t>
  </si>
  <si>
    <t>Segment revenue</t>
  </si>
  <si>
    <t>Segment operating income</t>
  </si>
  <si>
    <t>Alphabet-level activities</t>
  </si>
  <si>
    <t>Total income from operations</t>
  </si>
  <si>
    <t>Google Services costs</t>
  </si>
  <si>
    <t>Employee compensation expenses</t>
  </si>
  <si>
    <t>Other costs and expenses</t>
  </si>
  <si>
    <t>Total Google Services costs and expenses</t>
  </si>
  <si>
    <t>Google Cloud costs</t>
  </si>
  <si>
    <t>Total Google Cloud costs and expenses</t>
  </si>
  <si>
    <t>Sources and reporting basis</t>
  </si>
  <si>
    <t>Eight filings through June 2026. Blanks mean the line was not reported in that period; zero means a reported zero.</t>
  </si>
  <si>
    <t>Filing period</t>
  </si>
  <si>
    <t>Form</t>
  </si>
  <si>
    <t>Period end</t>
  </si>
  <si>
    <t>Income / revenue / segment</t>
  </si>
  <si>
    <t>Cash flow</t>
  </si>
  <si>
    <t>SEC filing URL</t>
  </si>
  <si>
    <t>10-Q</t>
  </si>
  <si>
    <t>https://www.sec.gov/Archives/edgar/data/1652044/000165204424000118/goog-20240930.htm</t>
  </si>
  <si>
    <t>10-K</t>
  </si>
  <si>
    <t>https://www.sec.gov/Archives/edgar/data/1652044/000165204425000014/goog-20241231.htm</t>
  </si>
  <si>
    <t>https://www.sec.gov/Archives/edgar/data/1652044/000165204425000043/goog-20250331.htm</t>
  </si>
  <si>
    <t>https://www.sec.gov/Archives/edgar/data/1652044/000165204425000062/goog-20250630.htm</t>
  </si>
  <si>
    <t>https://www.sec.gov/Archives/edgar/data/1652044/000165204425000091/goog-20250930.htm</t>
  </si>
  <si>
    <t>https://www.sec.gov/Archives/edgar/data/1652044/000165204426000018/goog-20251231.htm</t>
  </si>
  <si>
    <t>https://www.sec.gov/Archives/edgar/data/1652044/000165204426000048/goog-20260331.htm</t>
  </si>
  <si>
    <t>How to read the sheets</t>
  </si>
  <si>
    <t>Q4:24 and Q4:25 filing columns contain full-year 10-K figures for income, cash flow, revenue, and segments.</t>
  </si>
  <si>
    <t>Q2 and Q3 cash-flow columns are cumulative H1 or nine-month amounts, not individual quarters.</t>
  </si>
  <si>
    <t>Balance-sheet values are as of each period end. There is no standalone FCF calculation in this workbook.</t>
  </si>
  <si>
    <t>Google Search &amp; other includes other Google properties; YouTube ads excludes subscription revenue.</t>
  </si>
  <si>
    <t>Google Cloud revenue includes Platform, Workspace, and other enterprise services. Cash capex and PP&amp;E depreciation are consolidated.</t>
  </si>
  <si>
    <t>Long equity-line descriptions are shortened for display. Original SEC wording remains in the raw extract.</t>
  </si>
  <si>
    <t>Supplementary capital inputs</t>
  </si>
  <si>
    <t>Commercial paper</t>
  </si>
  <si>
    <t>Excluded from operating current liabilities</t>
  </si>
  <si>
    <t>https://www.sec.gov/Archives/edgar/data/1652044/000165204426000018/goog-20251231.htm | https://www.sec.gov/Archives/edgar/data/1652044/000165204425000062/goog-20250630.htm | https://www.sec.gov/Archives/edgar/data/1652044/000165204426000071/goog-20260630.htm</t>
  </si>
  <si>
    <t>Current notes</t>
  </si>
  <si>
    <t>Current finance leases</t>
  </si>
  <si>
    <t>Current operating leases</t>
  </si>
  <si>
    <t>Investment settlement payables</t>
  </si>
  <si>
    <t>Current income taxes payable</t>
  </si>
  <si>
    <t>PP&amp;E in payables</t>
  </si>
  <si>
    <t>Jun25 retains rounded filing component; capital-return proxy</t>
  </si>
  <si>
    <t>Assets not yet in service</t>
  </si>
  <si>
    <t>Assets not ready for intended use</t>
  </si>
  <si>
    <t>Expense / existing-asset schedule</t>
  </si>
  <si>
    <t>Source: Q2 2026 Note 9; FY2025 standalone amortisation not separately extracted; 2031 is not individually disclosed.</t>
  </si>
  <si>
    <t>2026 cash CapEx guidance, low</t>
  </si>
  <si>
    <t>CFO July 2026 call</t>
  </si>
  <si>
    <t>2026 cash CapEx guidance, high</t>
  </si>
  <si>
    <t>https://www.earningswhispers.com/transcript/GOOG/Q22026</t>
  </si>
  <si>
    <t>Short-term purchase / contractual obligations</t>
  </si>
  <si>
    <t>June 2026</t>
  </si>
  <si>
    <t>June 2026 NCI incl. redeemable NCI</t>
  </si>
  <si>
    <t>Book value; not market claim</t>
  </si>
  <si>
    <t>June 2026 finance lease liabilities</t>
  </si>
  <si>
    <t>Financing claim; PP&amp;E includes leased assets</t>
  </si>
  <si>
    <t>Intangible amortisation thereafter</t>
  </si>
  <si>
    <t>Existing assets after 2030</t>
  </si>
  <si>
    <t>Historical sources copied from previously verified report inputs; forecasts and tax rates are analyst assumptions.</t>
  </si>
  <si>
    <t>Annual reported history</t>
  </si>
  <si>
    <t>2021–2022 recast: https://www.sec.gov/Archives/edgar/data/1652044/000165204424000022/goog-20231231.htm | 2023–2025: https://www.sec.gov/Archives/edgar/data/1652044/000165204426000018/goog-20251231.htm</t>
  </si>
  <si>
    <t>Report control</t>
  </si>
  <si>
    <t>Units / source</t>
  </si>
  <si>
    <t>USD million; Working tab Appendix C / underlying calculation</t>
  </si>
  <si>
    <t>NOPAT at 21%</t>
  </si>
  <si>
    <t>Average tangible capital</t>
  </si>
  <si>
    <t>Operating working-capital refinements</t>
  </si>
  <si>
    <t>GFiber PP&amp;E held for sale</t>
  </si>
  <si>
    <t>https://www.sec.gov/Archives/edgar/data/1652044/000165204426000071/goog-20260630.htm — Note 8; zero before reclassification</t>
  </si>
  <si>
    <t>Accrued fines and settlements</t>
  </si>
  <si>
    <t>https://www.sec.gov/Archives/edgar/data/1652044/000165204426000071/goog-20260630.htm — Note 7</t>
  </si>
  <si>
    <t>CapEx creditors in accrued liabilities</t>
  </si>
  <si>
    <t>https://www.sec.gov/Archives/edgar/data/1652044/000165204426000071/goog-20260630.htm — Note 7; remainder of total PP&amp;E creditors sits in AP</t>
  </si>
  <si>
    <t>July 2026 Android settlement</t>
  </si>
  <si>
    <t>https://www.sec.gov/Archives/edgar/data/1652044/000165204426000071/goog-20260630.htm — Note 10; settled after June balance sheet</t>
  </si>
  <si>
    <t>H1 2026 TAC</t>
  </si>
  <si>
    <t>https://www.sec.gov/Archives/edgar/data/1652044/000165204426000071/goog-20260630.htm — MD&amp;A cost of revenues</t>
  </si>
  <si>
    <t>23 October 2026 US Treasury 10-year</t>
  </si>
  <si>
    <t>https://home.treasury.gov/resource-center/data-chart-center/interest-rates/TextView?type=daily_treasury_yield_curve&amp;field_tdr_date_value_month=202610</t>
  </si>
  <si>
    <t>Waymo Feb 2026 post-money equity value</t>
  </si>
  <si>
    <t>https://waymo.com/blog/2026/02/waymo-raises-usd16-billion-investment-round/</t>
  </si>
  <si>
    <t>Waymo Feb 2026 funding raised</t>
  </si>
  <si>
    <t>Same announcement; funding amount is not equity valuation</t>
  </si>
  <si>
    <t>Cloud backlog June 2026</t>
  </si>
  <si>
    <t>https://www.sec.gov/Archives/edgar/data/1652044/000165204426000071/goog-20260630.htm — Note 2</t>
  </si>
  <si>
    <t>Group backlog June 2026</t>
  </si>
  <si>
    <t>https://www.sec.gov/Archives/edgar/data/1652044/000165204426000071/goog-20260630.htm — Note 2; just over 50% expected within 24 months</t>
  </si>
  <si>
    <t>Group backlog reference conversion share</t>
  </si>
  <si>
    <t>Conservative 50% reference, not exact timing guidance or incremental sales</t>
  </si>
  <si>
    <t>Market-input cutoff</t>
  </si>
  <si>
    <t>25 October 2026 information; 23 October closes</t>
  </si>
  <si>
    <t>Latest completed trading day before Sunday valuation date. Alphabet June remains latest reported quarter; no Q3 results assumed.</t>
  </si>
  <si>
    <t>Dec 2025 inventory — Q2 2026 comparative</t>
  </si>
  <si>
    <t>Q2 2026 Form 10-Q, balance sheet; reclassified comparative, not zero inventory.</t>
  </si>
  <si>
    <t>Dec 2025 other current assets — reclassified</t>
  </si>
  <si>
    <t>AWS H1 2026 revenue</t>
  </si>
  <si>
    <t>https://ir.aboutamazon.com/news-release/news-release-details/2026/Amazon-com-Announces-Second-Quarter-Results/default.aspx</t>
  </si>
  <si>
    <t>AWS H1 2026 operating income</t>
  </si>
  <si>
    <t>Same release; comparable segment margin check, not identical cost allocation.</t>
  </si>
  <si>
    <t>Conditional private-company funding through 2030</t>
  </si>
  <si>
    <t>https://www.sec.gov/Archives/edgar/data/1652044/000165204426000071/goog-20260630.htm — Notes 3/5; counterparty unnamed in filing.</t>
  </si>
  <si>
    <t>Google / Anthropic capacity expansion</t>
  </si>
  <si>
    <t>https://www.googlecloudpresscorner.com/2026-04-06-Anthropic-Expands-Use-of-Google-Cloud-and-TPUs — capacity starts 2027.</t>
  </si>
  <si>
    <t>Alphabet | WACC × terminal growth sensitivity (Base operating case)</t>
  </si>
  <si>
    <t>USD millions unless stated. Recomputes the Base transition (2032–2036) and terminal value for each WACC and terminal-growth pair; explicit 2026–2031 FCFF is unchanged. Centre cell reconciles to Valuation.</t>
  </si>
  <si>
    <t>Base WACC</t>
  </si>
  <si>
    <t>2031 revenue growth</t>
  </si>
  <si>
    <t>2031 revenue</t>
  </si>
  <si>
    <t>Normalised 2031 pre-amortisation NOPAT</t>
  </si>
  <si>
    <t>Terminal return ceiling</t>
  </si>
  <si>
    <t>Common equity value (USD trillion)</t>
  </si>
  <si>
    <t>Terminal growth \ WACC</t>
  </si>
  <si>
    <t>Equity value vs market capitalisation</t>
  </si>
  <si>
    <t>Check: centre cell less Valuation equity (USD m)</t>
  </si>
  <si>
    <t>Cells at or above market capitalisation</t>
  </si>
  <si>
    <t>Years from valuation date (transition)</t>
  </si>
  <si>
    <t>Explicit FCFF after valuation date</t>
  </si>
  <si>
    <t>Years from valuation date (explicit)</t>
  </si>
  <si>
    <t>Return on new capital (B = start)</t>
  </si>
  <si>
    <t>Growth-implied net reinvestment</t>
  </si>
  <si>
    <t>FCFF (H = terminal)</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</si>
</sst>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0;(#,##0);–"/>
    <numFmt numFmtId="165" formatCode="dd mmm yyyy"/>
    <numFmt numFmtId="166" formatCode="#,##0;(#,##0);&quot;-&quot;"/>
    <numFmt numFmtId="167" formatCode="0.0%"/>
    <numFmt numFmtId="168" formatCode="#,##0.0;(#,##0.0);&quot;-&quot;"/>
    <numFmt numFmtId="169" formatCode="0.00&quot;x&quot;"/>
    <numFmt numFmtId="170" formatCode="0.0&quot; years&quot;"/>
    <numFmt numFmtId="171" formatCode="0.0&quot; days&quot;"/>
    <numFmt numFmtId="172" formatCode="0.0%;(0.0%);&quot;–&quot;"/>
    <numFmt numFmtId="173" formatCode="0.0000"/>
    <numFmt numFmtId="174" formatCode="#,##0;(#,##0);&quot;–&quot;"/>
    <numFmt numFmtId="175" formatCode="0.0"/>
    <numFmt numFmtId="176" formatCode="0.00;(0.00);–"/>
    <numFmt numFmtId="177" formatCode="#,##0;(#,##0)"/>
    <numFmt numFmtId="178" formatCode="0.000"/>
    <numFmt numFmtId="179" formatCode="#,##0.0"/>
    <numFmt numFmtId="180" formatCode="0.0&quot;x&quot;"/>
    <numFmt numFmtId="181" formatCode="#,##0;(#,##0);0"/>
    <numFmt numFmtId="182" formatCode="0.00;(0.00);0.00"/>
    <numFmt numFmtId="183" formatCode="0%;(0%)"/>
    <numFmt numFmtId="184" formatCode="#,##0.000;(#,##0.000)"/>
  </numFmts>
  <fonts count="40">
    <font>
      <sz val="10.0"/>
      <color rgb="FF000000"/>
      <name val="Arial"/>
      <scheme val="minor"/>
    </font>
    <font>
      <b/>
      <sz val="16.0"/>
      <color rgb="FF17344E"/>
      <name val="Aptos"/>
    </font>
    <font>
      <sz val="10.0"/>
      <color rgb="FF17344E"/>
      <name val="Aptos"/>
    </font>
    <font>
      <sz val="11.0"/>
      <color rgb="FF17344E"/>
      <name val="Aptos"/>
    </font>
    <font>
      <sz val="11.0"/>
      <color rgb="FF006633"/>
      <name val="Aptos"/>
    </font>
    <font>
      <b/>
      <sz val="11.0"/>
      <color rgb="FFFFFFFF"/>
      <name val="Aptos"/>
    </font>
    <font>
      <sz val="11.0"/>
      <color rgb="FF1959A3"/>
      <name val="Aptos"/>
    </font>
    <font>
      <b/>
      <sz val="11.0"/>
      <color rgb="FF17344E"/>
      <name val="Aptos"/>
    </font>
    <font>
      <b/>
      <sz val="11.0"/>
      <color rgb="FF006633"/>
      <name val="Aptos"/>
    </font>
    <font>
      <color theme="1"/>
      <name val="Arial"/>
      <scheme val="minor"/>
    </font>
    <font>
      <b/>
      <color rgb="FFFFFFFF"/>
      <name val="Arial"/>
      <scheme val="minor"/>
    </font>
    <font>
      <b/>
      <color theme="1"/>
      <name val="Arial"/>
      <scheme val="minor"/>
    </font>
    <font>
      <b/>
      <sz val="12.0"/>
      <color theme="1"/>
      <name val="Arial"/>
      <scheme val="minor"/>
    </font>
    <font>
      <sz val="11.0"/>
      <color rgb="FF1E5199"/>
      <name val="Aptos"/>
    </font>
    <font>
      <b/>
      <sz val="10.0"/>
      <color rgb="FFFFFFFF"/>
      <name val="Arial"/>
    </font>
    <font>
      <sz val="10.0"/>
      <color theme="1"/>
      <name val="Arial"/>
    </font>
    <font>
      <sz val="10.0"/>
      <color rgb="FF003FBF"/>
      <name val="Arial"/>
      <scheme val="minor"/>
    </font>
    <font>
      <b/>
      <sz val="10.0"/>
      <color theme="1"/>
      <name val="Arial"/>
      <scheme val="minor"/>
    </font>
    <font>
      <sz val="10.0"/>
      <color rgb="FF007200"/>
      <name val="Arial"/>
      <scheme val="minor"/>
    </font>
    <font>
      <color rgb="FF0000FF"/>
      <name val="Arial"/>
      <scheme val="minor"/>
    </font>
    <font>
      <b/>
      <sz val="16.0"/>
      <color rgb="FF163347"/>
      <name val="Arial"/>
      <scheme val="minor"/>
    </font>
    <font>
      <sz val="11.0"/>
      <color theme="1"/>
      <name val="Arial"/>
    </font>
    <font>
      <b/>
      <sz val="11.0"/>
      <color theme="1"/>
      <name val="Arial"/>
    </font>
    <font>
      <sz val="10.0"/>
      <color theme="1"/>
      <name val="Arial"/>
      <scheme val="minor"/>
    </font>
    <font>
      <sz val="10.0"/>
      <color rgb="FF006600"/>
      <name val="Arial"/>
      <scheme val="minor"/>
    </font>
    <font>
      <b/>
      <sz val="11.0"/>
      <color rgb="FF195B44"/>
      <name val="Aptos"/>
    </font>
    <font>
      <sz val="11.0"/>
      <color rgb="FF195B44"/>
      <name val="Aptos"/>
    </font>
    <font>
      <sz val="11.0"/>
      <color theme="1"/>
      <name val="Aptos"/>
    </font>
    <font>
      <b/>
      <sz val="11.0"/>
      <color rgb="FFFFFFFF"/>
      <name val="Arial"/>
      <scheme val="minor"/>
    </font>
    <font>
      <sz val="11.0"/>
      <color rgb="FF0000FF"/>
      <name val="Aptos"/>
    </font>
    <font>
      <b/>
      <sz val="17.0"/>
      <color rgb="FF18354F"/>
      <name val="Aptos"/>
    </font>
    <font>
      <sz val="10.0"/>
      <color rgb="FF516779"/>
      <name val="Aptos"/>
    </font>
    <font>
      <b/>
      <sz val="10.0"/>
      <color rgb="FFFFFFFF"/>
      <name val="Aptos"/>
    </font>
    <font>
      <sz val="9.0"/>
      <color rgb="FF18354F"/>
      <name val="Aptos"/>
    </font>
    <font>
      <sz val="10.0"/>
      <color rgb="FF18354F"/>
      <name val="Aptos"/>
    </font>
    <font>
      <sz val="10.0"/>
      <color rgb="FF1A5AA2"/>
      <name val="Aptos"/>
    </font>
    <font>
      <b/>
      <sz val="10.0"/>
      <color rgb="FF18354F"/>
      <name val="Aptos"/>
    </font>
    <font>
      <b/>
      <sz val="10.0"/>
      <color rgb="FF1A5AA2"/>
      <name val="Aptos"/>
    </font>
    <font>
      <u/>
      <sz val="11.0"/>
      <color rgb="FF17344E"/>
      <name val="Aptos"/>
    </font>
    <font>
      <u/>
      <color rgb="FF0000FF"/>
    </font>
  </fonts>
  <fills count="19">
    <fill>
      <patternFill patternType="none"/>
    </fill>
    <fill>
      <patternFill patternType="lightGray"/>
    </fill>
    <fill>
      <patternFill patternType="solid">
        <fgColor rgb="FF17344E"/>
        <bgColor rgb="FF17344E"/>
      </patternFill>
    </fill>
    <fill>
      <patternFill patternType="solid">
        <fgColor rgb="FFFFF7D6"/>
        <bgColor rgb="FFFFF7D6"/>
      </patternFill>
    </fill>
    <fill>
      <patternFill patternType="solid">
        <fgColor rgb="FFE9F2F4"/>
        <bgColor rgb="FFE9F2F4"/>
      </patternFill>
    </fill>
    <fill>
      <patternFill patternType="solid">
        <fgColor rgb="FF163347"/>
        <bgColor rgb="FF163347"/>
      </patternFill>
    </fill>
    <fill>
      <patternFill patternType="solid">
        <fgColor rgb="FFE2EFF2"/>
        <bgColor rgb="FFE2EFF2"/>
      </patternFill>
    </fill>
    <fill>
      <patternFill patternType="solid">
        <fgColor rgb="FFFFF2BF"/>
        <bgColor rgb="FFFFF2BF"/>
      </patternFill>
    </fill>
    <fill>
      <patternFill patternType="solid">
        <fgColor rgb="FFE8F2F4"/>
        <bgColor rgb="FFE8F2F4"/>
      </patternFill>
    </fill>
    <fill>
      <patternFill patternType="solid">
        <fgColor rgb="FF193351"/>
        <bgColor rgb="FF193351"/>
      </patternFill>
    </fill>
    <fill>
      <patternFill patternType="solid">
        <fgColor rgb="FFFFF7DB"/>
        <bgColor rgb="FFFFF7DB"/>
      </patternFill>
    </fill>
    <fill>
      <patternFill patternType="solid">
        <fgColor rgb="FFE8F2F9"/>
        <bgColor rgb="FFE8F2F9"/>
      </patternFill>
    </fill>
    <fill>
      <patternFill patternType="solid">
        <fgColor rgb="FFFFF7CE"/>
        <bgColor rgb="FFFFF7CE"/>
      </patternFill>
    </fill>
    <fill>
      <patternFill patternType="solid">
        <fgColor rgb="FF1E3A5B"/>
        <bgColor rgb="FF1E3A5B"/>
      </patternFill>
    </fill>
    <fill>
      <patternFill patternType="solid">
        <fgColor rgb="FF18354F"/>
        <bgColor rgb="FF18354F"/>
      </patternFill>
    </fill>
    <fill>
      <patternFill patternType="solid">
        <fgColor rgb="FF8A612C"/>
        <bgColor rgb="FF8A612C"/>
      </patternFill>
    </fill>
    <fill>
      <patternFill patternType="solid">
        <fgColor rgb="FFEAF3F4"/>
        <bgColor rgb="FFEAF3F4"/>
      </patternFill>
    </fill>
    <fill>
      <patternFill patternType="solid">
        <fgColor rgb="FF087C87"/>
        <bgColor rgb="FF087C87"/>
      </patternFill>
    </fill>
    <fill>
      <patternFill patternType="solid">
        <fgColor rgb="FF44448C"/>
        <bgColor rgb="FF44448C"/>
      </patternFill>
    </fill>
  </fills>
  <borders count="4">
    <border/>
    <border>
      <top style="thin">
        <color rgb="FFBFCCD3"/>
      </top>
    </border>
    <border>
      <top style="thin">
        <color rgb="FFA7C3C6"/>
      </top>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shrinkToFit="0" vertical="center" wrapText="1"/>
    </xf>
    <xf borderId="0" fillId="0" fontId="3" numFmtId="0" xfId="0" applyAlignment="1" applyFont="1">
      <alignment shrinkToFit="0" vertical="center" wrapText="0"/>
    </xf>
    <xf borderId="0" fillId="0" fontId="4" numFmtId="164" xfId="0" applyAlignment="1" applyFont="1" applyNumberFormat="1">
      <alignment shrinkToFit="0" vertical="center" wrapText="0"/>
    </xf>
    <xf borderId="0" fillId="0" fontId="4" numFmtId="165" xfId="0" applyAlignment="1" applyFont="1" applyNumberFormat="1">
      <alignment shrinkToFit="0" vertical="center" wrapText="0"/>
    </xf>
    <xf borderId="0" fillId="2" fontId="5" numFmtId="0" xfId="0" applyAlignment="1" applyFill="1" applyFont="1">
      <alignment shrinkToFit="0" vertical="center" wrapText="1"/>
    </xf>
    <xf borderId="0" fillId="0" fontId="3" numFmtId="0" xfId="0" applyAlignment="1" applyFont="1">
      <alignment readingOrder="0" shrinkToFit="0" vertical="center" wrapText="1"/>
    </xf>
    <xf borderId="0" fillId="3" fontId="3" numFmtId="166" xfId="0" applyAlignment="1" applyFill="1" applyFont="1" applyNumberFormat="1">
      <alignment readingOrder="0" shrinkToFit="0" vertical="center" wrapText="1"/>
    </xf>
    <xf borderId="0" fillId="3" fontId="3" numFmtId="166" xfId="0" applyAlignment="1" applyFill="1" applyFont="1" applyNumberFormat="1">
      <alignment shrinkToFit="0" vertical="center" wrapText="1"/>
    </xf>
    <xf borderId="0" fillId="0" fontId="3" numFmtId="0" xfId="0" applyAlignment="1" applyFont="1">
      <alignment shrinkToFit="0" vertical="center" wrapText="1"/>
    </xf>
    <xf borderId="0" fillId="3" fontId="3" numFmtId="10" xfId="0" applyAlignment="1" applyFill="1" applyFont="1" applyNumberFormat="1">
      <alignment shrinkToFit="0" vertical="center" wrapText="1"/>
    </xf>
    <xf borderId="0" fillId="3" fontId="3" numFmtId="2" xfId="0" applyAlignment="1" applyFill="1" applyFont="1" applyNumberFormat="1">
      <alignment readingOrder="0" shrinkToFit="0" vertical="center" wrapText="1"/>
    </xf>
    <xf borderId="0" fillId="3" fontId="3" numFmtId="10" xfId="0" applyAlignment="1" applyFill="1" applyFont="1" applyNumberFormat="1">
      <alignment readingOrder="0" shrinkToFit="0" vertical="center" wrapText="1"/>
    </xf>
    <xf borderId="0" fillId="3" fontId="4" numFmtId="164" xfId="0" applyAlignment="1" applyFill="1" applyFont="1" applyNumberFormat="1">
      <alignment shrinkToFit="0" vertical="center" wrapText="1"/>
    </xf>
    <xf borderId="0" fillId="0" fontId="3" numFmtId="0" xfId="0" applyAlignment="1" applyFont="1">
      <alignment readingOrder="0" shrinkToFit="0" vertical="center" wrapText="1"/>
    </xf>
    <xf borderId="0" fillId="3" fontId="6" numFmtId="10" xfId="0" applyAlignment="1" applyFill="1" applyFont="1" applyNumberFormat="1">
      <alignment shrinkToFit="0" vertical="center" wrapText="1"/>
    </xf>
    <xf borderId="0" fillId="3" fontId="3" numFmtId="0" xfId="0" applyAlignment="1" applyFill="1" applyFont="1">
      <alignment shrinkToFit="0" vertical="center" wrapText="1"/>
    </xf>
    <xf borderId="0" fillId="0" fontId="3" numFmtId="0" xfId="0" applyAlignment="1" applyFont="1">
      <alignment readingOrder="0" shrinkToFit="0" vertical="center" wrapText="0"/>
    </xf>
    <xf borderId="0" fillId="0" fontId="3" numFmtId="1" xfId="0" applyAlignment="1" applyFont="1" applyNumberFormat="1">
      <alignment readingOrder="0" shrinkToFit="0" vertical="center" wrapText="0"/>
    </xf>
    <xf borderId="0" fillId="0" fontId="3" numFmtId="10" xfId="0" applyAlignment="1" applyFont="1" applyNumberFormat="1">
      <alignment shrinkToFit="0" vertical="center" wrapText="0"/>
    </xf>
    <xf borderId="0" fillId="0" fontId="3" numFmtId="164" xfId="0" applyAlignment="1" applyFont="1" applyNumberFormat="1">
      <alignment shrinkToFit="0" vertical="center" wrapText="0"/>
    </xf>
    <xf borderId="1" fillId="0" fontId="7" numFmtId="0" xfId="0" applyAlignment="1" applyBorder="1" applyFont="1">
      <alignment shrinkToFit="0" vertical="center" wrapText="0"/>
    </xf>
    <xf borderId="1" fillId="0" fontId="8" numFmtId="10" xfId="0" applyAlignment="1" applyBorder="1" applyFont="1" applyNumberFormat="1">
      <alignment shrinkToFit="0" vertical="center" wrapText="0"/>
    </xf>
    <xf borderId="1" fillId="0" fontId="7" numFmtId="0" xfId="0" applyAlignment="1" applyBorder="1" applyFont="1">
      <alignment readingOrder="0" shrinkToFit="0" vertical="center" wrapText="0"/>
    </xf>
    <xf borderId="0" fillId="4" fontId="7" numFmtId="0" xfId="0" applyAlignment="1" applyFill="1" applyFont="1">
      <alignment shrinkToFit="0" vertical="center" wrapText="1"/>
    </xf>
    <xf quotePrefix="1" borderId="0" fillId="4" fontId="7" numFmtId="0" xfId="0" applyAlignment="1" applyFill="1" applyFont="1">
      <alignment shrinkToFit="0" vertical="center" wrapText="1"/>
    </xf>
    <xf borderId="0" fillId="0" fontId="3" numFmtId="165" xfId="0" applyAlignment="1" applyFont="1" applyNumberFormat="1">
      <alignment shrinkToFit="0" vertical="center" wrapText="0"/>
    </xf>
    <xf borderId="0" fillId="0" fontId="3" numFmtId="2" xfId="0" applyAlignment="1" applyFont="1" applyNumberFormat="1">
      <alignment shrinkToFit="0" vertical="center" wrapText="0"/>
    </xf>
    <xf borderId="0" fillId="0" fontId="3" numFmtId="167" xfId="0" applyAlignment="1" applyFont="1" applyNumberFormat="1">
      <alignment shrinkToFit="0" vertical="center" wrapText="0"/>
    </xf>
    <xf borderId="0" fillId="4" fontId="7" numFmtId="168" xfId="0" applyAlignment="1" applyFill="1" applyFont="1" applyNumberFormat="1">
      <alignment shrinkToFit="0" vertical="center" wrapText="1"/>
    </xf>
    <xf borderId="0" fillId="0" fontId="3" numFmtId="168" xfId="0" applyAlignment="1" applyFont="1" applyNumberFormat="1">
      <alignment shrinkToFit="0" vertical="center" wrapText="0"/>
    </xf>
    <xf borderId="1" fillId="4" fontId="7" numFmtId="0" xfId="0" applyAlignment="1" applyBorder="1" applyFill="1" applyFont="1">
      <alignment readingOrder="0" shrinkToFit="0" vertical="center" wrapText="1"/>
    </xf>
    <xf borderId="1" fillId="4" fontId="7" numFmtId="168" xfId="0" applyAlignment="1" applyBorder="1" applyFill="1" applyFont="1" applyNumberFormat="1">
      <alignment shrinkToFit="0" vertical="center" wrapText="1"/>
    </xf>
    <xf borderId="1" fillId="4" fontId="7" numFmtId="0" xfId="0" applyAlignment="1" applyBorder="1" applyFill="1" applyFont="1">
      <alignment shrinkToFit="0" vertical="center" wrapText="1"/>
    </xf>
    <xf borderId="0" fillId="0" fontId="3" numFmtId="0" xfId="0" applyAlignment="1" applyFont="1">
      <alignment readingOrder="0" shrinkToFit="0" vertical="center" wrapText="0"/>
    </xf>
    <xf borderId="1" fillId="0" fontId="7" numFmtId="168" xfId="0" applyAlignment="1" applyBorder="1" applyFont="1" applyNumberFormat="1">
      <alignment shrinkToFit="0" vertical="center" wrapText="0"/>
    </xf>
    <xf borderId="1" fillId="0" fontId="7" numFmtId="166" xfId="0" applyAlignment="1" applyBorder="1" applyFont="1" applyNumberFormat="1">
      <alignment shrinkToFit="0" vertical="center" wrapText="0"/>
    </xf>
    <xf borderId="0" fillId="0" fontId="7" numFmtId="166" xfId="0" applyAlignment="1" applyFont="1" applyNumberFormat="1">
      <alignment readingOrder="0" shrinkToFit="0" vertical="center" wrapText="0"/>
    </xf>
    <xf borderId="0" fillId="0" fontId="7" numFmtId="166" xfId="0" applyAlignment="1" applyFont="1" applyNumberFormat="1">
      <alignment shrinkToFit="0" vertical="center" wrapText="0"/>
    </xf>
    <xf borderId="0" fillId="0" fontId="9" numFmtId="0" xfId="0" applyAlignment="1" applyFont="1">
      <alignment readingOrder="0" shrinkToFit="0" wrapText="1"/>
    </xf>
    <xf borderId="0" fillId="0" fontId="9" numFmtId="0" xfId="0" applyAlignment="1" applyFont="1">
      <alignment shrinkToFit="0" wrapText="1"/>
    </xf>
    <xf borderId="0" fillId="2" fontId="5" numFmtId="166" xfId="0" applyAlignment="1" applyFill="1" applyFont="1" applyNumberFormat="1">
      <alignment shrinkToFit="0" vertical="center" wrapText="1"/>
    </xf>
    <xf borderId="0" fillId="0" fontId="3" numFmtId="166" xfId="0" applyAlignment="1" applyFont="1" applyNumberFormat="1">
      <alignment shrinkToFit="0" vertical="center" wrapText="1"/>
    </xf>
    <xf borderId="0" fillId="0" fontId="3" numFmtId="166" xfId="0" applyAlignment="1" applyFont="1" applyNumberFormat="1">
      <alignment readingOrder="0" shrinkToFit="0" vertical="center" wrapText="1"/>
    </xf>
    <xf borderId="0" fillId="3" fontId="3" numFmtId="0" xfId="0" applyAlignment="1" applyFill="1" applyFont="1">
      <alignment readingOrder="0" shrinkToFit="0" vertical="center" wrapText="1"/>
    </xf>
    <xf borderId="0" fillId="2" fontId="5" numFmtId="166" xfId="0" applyAlignment="1" applyFill="1" applyFont="1" applyNumberFormat="1">
      <alignment readingOrder="0" shrinkToFit="0" vertical="center" wrapText="1"/>
    </xf>
    <xf borderId="0" fillId="5" fontId="10" numFmtId="0" xfId="0" applyFill="1" applyFont="1"/>
    <xf borderId="0" fillId="0" fontId="9" numFmtId="10" xfId="0" applyAlignment="1" applyFont="1" applyNumberFormat="1">
      <alignment readingOrder="0"/>
    </xf>
    <xf borderId="0" fillId="0" fontId="9" numFmtId="10" xfId="0" applyFont="1" applyNumberFormat="1"/>
    <xf borderId="0" fillId="0" fontId="9" numFmtId="166" xfId="0" applyFont="1" applyNumberFormat="1"/>
    <xf borderId="0" fillId="6" fontId="11" numFmtId="10" xfId="0" applyAlignment="1" applyFill="1" applyFont="1" applyNumberFormat="1">
      <alignment readingOrder="0"/>
    </xf>
    <xf borderId="0" fillId="6" fontId="11" numFmtId="10" xfId="0" applyFill="1" applyFont="1" applyNumberFormat="1"/>
    <xf borderId="0" fillId="6" fontId="11" numFmtId="166" xfId="0" applyFill="1" applyFont="1" applyNumberFormat="1"/>
    <xf borderId="0" fillId="0" fontId="9" numFmtId="0" xfId="0" applyAlignment="1" applyFont="1">
      <alignment readingOrder="0"/>
    </xf>
    <xf borderId="0" fillId="0" fontId="2" numFmtId="0" xfId="0" applyAlignment="1" applyFont="1">
      <alignment shrinkToFit="0" vertical="center" wrapText="1"/>
    </xf>
    <xf borderId="0" fillId="7" fontId="12" numFmtId="0" xfId="0" applyAlignment="1" applyFill="1" applyFont="1">
      <alignment readingOrder="0" shrinkToFit="0" vertical="center" wrapText="0"/>
    </xf>
    <xf borderId="0" fillId="0" fontId="6" numFmtId="167" xfId="0" applyAlignment="1" applyFont="1" applyNumberFormat="1">
      <alignment shrinkToFit="0" vertical="center" wrapText="0"/>
    </xf>
    <xf quotePrefix="1" borderId="0" fillId="2" fontId="5" numFmtId="0" xfId="0" applyAlignment="1" applyFill="1" applyFont="1">
      <alignment shrinkToFit="0" vertical="center" wrapText="1"/>
    </xf>
    <xf borderId="0" fillId="4" fontId="7" numFmtId="167" xfId="0" applyAlignment="1" applyFill="1" applyFont="1" applyNumberFormat="1">
      <alignment shrinkToFit="0" vertical="center" wrapText="1"/>
    </xf>
    <xf borderId="0" fillId="0" fontId="4" numFmtId="167" xfId="0" applyAlignment="1" applyFont="1" applyNumberFormat="1">
      <alignment shrinkToFit="0" vertical="center" wrapText="0"/>
    </xf>
    <xf borderId="0" fillId="4" fontId="7" numFmtId="0" xfId="0" applyAlignment="1" applyFill="1" applyFont="1">
      <alignment readingOrder="0" shrinkToFit="0" vertical="center" wrapText="1"/>
    </xf>
    <xf borderId="0" fillId="0" fontId="6" numFmtId="167" xfId="0" applyAlignment="1" applyFont="1" applyNumberFormat="1">
      <alignment readingOrder="0" shrinkToFit="0" vertical="center" wrapText="0"/>
    </xf>
    <xf borderId="0" fillId="4" fontId="7" numFmtId="169" xfId="0" applyAlignment="1" applyFill="1" applyFont="1" applyNumberFormat="1">
      <alignment shrinkToFit="0" vertical="center" wrapText="1"/>
    </xf>
    <xf borderId="0" fillId="0" fontId="6" numFmtId="169" xfId="0" applyAlignment="1" applyFont="1" applyNumberFormat="1">
      <alignment readingOrder="0" shrinkToFit="0" vertical="center" wrapText="0"/>
    </xf>
    <xf borderId="0" fillId="4" fontId="7" numFmtId="0" xfId="0" applyAlignment="1" applyFill="1" applyFont="1">
      <alignment readingOrder="0" shrinkToFit="0" vertical="center" wrapText="1"/>
    </xf>
    <xf borderId="0" fillId="4" fontId="7" numFmtId="170" xfId="0" applyAlignment="1" applyFill="1" applyFont="1" applyNumberFormat="1">
      <alignment shrinkToFit="0" vertical="center" wrapText="1"/>
    </xf>
    <xf borderId="0" fillId="0" fontId="6" numFmtId="170" xfId="0" applyAlignment="1" applyFont="1" applyNumberFormat="1">
      <alignment shrinkToFit="0" vertical="center" wrapText="0"/>
    </xf>
    <xf borderId="0" fillId="0" fontId="6" numFmtId="167" xfId="0" applyAlignment="1" applyFont="1" applyNumberFormat="1">
      <alignment shrinkToFit="0" vertical="center" wrapText="1"/>
    </xf>
    <xf borderId="0" fillId="0" fontId="6" numFmtId="170" xfId="0" applyAlignment="1" applyFont="1" applyNumberFormat="1">
      <alignment shrinkToFit="0" vertical="center" wrapText="1"/>
    </xf>
    <xf borderId="0" fillId="0" fontId="4" numFmtId="164" xfId="0" applyAlignment="1" applyFont="1" applyNumberFormat="1">
      <alignment shrinkToFit="0" vertical="center" wrapText="1"/>
    </xf>
    <xf borderId="0" fillId="0" fontId="4" numFmtId="167" xfId="0" applyAlignment="1" applyFont="1" applyNumberFormat="1">
      <alignment shrinkToFit="0" vertical="center" wrapText="1"/>
    </xf>
    <xf borderId="0" fillId="8" fontId="7" numFmtId="0" xfId="0" applyAlignment="1" applyFill="1" applyFont="1">
      <alignment shrinkToFit="0" vertical="center" wrapText="1"/>
    </xf>
    <xf borderId="0" fillId="8" fontId="7" numFmtId="171" xfId="0" applyAlignment="1" applyFill="1" applyFont="1" applyNumberFormat="1">
      <alignment shrinkToFit="0" vertical="center" wrapText="1"/>
    </xf>
    <xf borderId="0" fillId="0" fontId="3" numFmtId="171" xfId="0" applyAlignment="1" applyFont="1" applyNumberFormat="1">
      <alignment shrinkToFit="0" vertical="center" wrapText="0"/>
    </xf>
    <xf borderId="0" fillId="0" fontId="3" numFmtId="171" xfId="0" applyAlignment="1" applyFont="1" applyNumberFormat="1">
      <alignment readingOrder="0" shrinkToFit="0" vertical="center" wrapText="0"/>
    </xf>
    <xf borderId="0" fillId="8" fontId="7" numFmtId="167" xfId="0" applyAlignment="1" applyFill="1" applyFont="1" applyNumberFormat="1">
      <alignment shrinkToFit="0" vertical="center" wrapText="1"/>
    </xf>
    <xf borderId="0" fillId="8" fontId="7" numFmtId="0" xfId="0" applyAlignment="1" applyFill="1" applyFont="1">
      <alignment readingOrder="0" shrinkToFit="0" vertical="center" wrapText="1"/>
    </xf>
    <xf borderId="0" fillId="2" fontId="5" numFmtId="0" xfId="0" applyAlignment="1" applyFill="1" applyFont="1">
      <alignment shrinkToFit="0" vertical="center" wrapText="0"/>
    </xf>
    <xf borderId="0" fillId="3" fontId="13" numFmtId="167" xfId="0" applyAlignment="1" applyFill="1" applyFont="1" applyNumberFormat="1">
      <alignment shrinkToFit="0" vertical="center" wrapText="0"/>
    </xf>
    <xf borderId="0" fillId="9" fontId="14" numFmtId="0" xfId="0" applyAlignment="1" applyFill="1" applyFont="1">
      <alignment readingOrder="0" shrinkToFit="0" vertical="center" wrapText="1"/>
    </xf>
    <xf borderId="0" fillId="0" fontId="15" numFmtId="0" xfId="0" applyAlignment="1" applyFont="1">
      <alignment readingOrder="0" shrinkToFit="0" vertical="center" wrapText="1"/>
    </xf>
    <xf borderId="0" fillId="10" fontId="16" numFmtId="172" xfId="0" applyAlignment="1" applyFill="1" applyFont="1" applyNumberFormat="1">
      <alignment readingOrder="0" shrinkToFit="0" vertical="center" wrapText="1"/>
    </xf>
    <xf borderId="0" fillId="0" fontId="15" numFmtId="0" xfId="0" applyAlignment="1" applyFont="1">
      <alignment shrinkToFit="0" vertical="center" wrapText="1"/>
    </xf>
    <xf borderId="0" fillId="0" fontId="15" numFmtId="0" xfId="0" applyAlignment="1" applyFont="1">
      <alignment readingOrder="0" shrinkToFit="0" vertical="center" wrapText="1"/>
    </xf>
    <xf borderId="0" fillId="11" fontId="17" numFmtId="0" xfId="0" applyAlignment="1" applyFill="1" applyFont="1">
      <alignment readingOrder="0" shrinkToFit="0" vertical="center" wrapText="1"/>
    </xf>
    <xf borderId="0" fillId="11" fontId="17" numFmtId="172" xfId="0" applyAlignment="1" applyFill="1" applyFont="1" applyNumberFormat="1">
      <alignment shrinkToFit="0" vertical="center" wrapText="1"/>
    </xf>
    <xf borderId="0" fillId="0" fontId="15" numFmtId="172" xfId="0" applyAlignment="1" applyFont="1" applyNumberFormat="1">
      <alignment shrinkToFit="0" vertical="center" wrapText="1"/>
    </xf>
    <xf borderId="0" fillId="10" fontId="18" numFmtId="172" xfId="0" applyAlignment="1" applyFill="1" applyFont="1" applyNumberFormat="1">
      <alignment shrinkToFit="0" vertical="center" wrapText="1"/>
    </xf>
    <xf borderId="0" fillId="0" fontId="9" numFmtId="0" xfId="0" applyAlignment="1" applyFont="1">
      <alignment readingOrder="0"/>
    </xf>
    <xf borderId="0" fillId="0" fontId="19" numFmtId="173" xfId="0" applyAlignment="1" applyFont="1" applyNumberFormat="1">
      <alignment readingOrder="0"/>
    </xf>
    <xf borderId="0" fillId="0" fontId="6" numFmtId="3" xfId="0" applyAlignment="1" applyFont="1" applyNumberFormat="1">
      <alignment shrinkToFit="0" vertical="center" wrapText="1"/>
    </xf>
    <xf borderId="0" fillId="0" fontId="6" numFmtId="3" xfId="0" applyAlignment="1" applyFont="1" applyNumberFormat="1">
      <alignment readingOrder="0" shrinkToFit="0" vertical="center" wrapText="1"/>
    </xf>
    <xf borderId="0" fillId="0" fontId="6" numFmtId="167" xfId="0" applyAlignment="1" applyFont="1" applyNumberFormat="1">
      <alignment readingOrder="0" shrinkToFit="0" vertical="center" wrapText="1"/>
    </xf>
    <xf borderId="0" fillId="0" fontId="20" numFmtId="0" xfId="0" applyAlignment="1" applyFont="1">
      <alignment shrinkToFit="0" vertical="center" wrapText="1"/>
    </xf>
    <xf borderId="0" fillId="0" fontId="21" numFmtId="0" xfId="0" applyAlignment="1" applyFont="1">
      <alignment readingOrder="0" shrinkToFit="0" vertical="center" wrapText="1"/>
    </xf>
    <xf borderId="0" fillId="0" fontId="21" numFmtId="0" xfId="0" applyAlignment="1" applyFont="1">
      <alignment shrinkToFit="0" vertical="center" wrapText="1"/>
    </xf>
    <xf borderId="0" fillId="0" fontId="21" numFmtId="165" xfId="0" applyAlignment="1" applyFont="1" applyNumberFormat="1">
      <alignment shrinkToFit="0" vertical="center" wrapText="1"/>
    </xf>
    <xf borderId="0" fillId="0" fontId="21" numFmtId="166" xfId="0" applyAlignment="1" applyFont="1" applyNumberFormat="1">
      <alignment readingOrder="0" shrinkToFit="0" vertical="center" wrapText="1"/>
    </xf>
    <xf borderId="0" fillId="0" fontId="21" numFmtId="10" xfId="0" applyAlignment="1" applyFont="1" applyNumberFormat="1">
      <alignment shrinkToFit="0" vertical="center" wrapText="1"/>
    </xf>
    <xf borderId="0" fillId="0" fontId="21" numFmtId="10" xfId="0" applyAlignment="1" applyFont="1" applyNumberFormat="1">
      <alignment readingOrder="0" shrinkToFit="0" vertical="center" wrapText="1"/>
    </xf>
    <xf borderId="0" fillId="0" fontId="21" numFmtId="166" xfId="0" applyAlignment="1" applyFont="1" applyNumberFormat="1">
      <alignment shrinkToFit="0" vertical="center" wrapText="1"/>
    </xf>
    <xf borderId="0" fillId="5" fontId="10" numFmtId="0" xfId="0" applyAlignment="1" applyFill="1" applyFont="1">
      <alignment shrinkToFit="0" vertical="center" wrapText="1"/>
    </xf>
    <xf borderId="0" fillId="0" fontId="21" numFmtId="167" xfId="0" applyAlignment="1" applyFont="1" applyNumberFormat="1">
      <alignment shrinkToFit="0" vertical="center" wrapText="1"/>
    </xf>
    <xf borderId="0" fillId="0" fontId="21" numFmtId="2" xfId="0" applyAlignment="1" applyFont="1" applyNumberFormat="1">
      <alignment shrinkToFit="0" vertical="center" wrapText="1"/>
    </xf>
    <xf borderId="0" fillId="6" fontId="22" numFmtId="0" xfId="0" applyAlignment="1" applyFill="1" applyFont="1">
      <alignment shrinkToFit="0" vertical="center" wrapText="1"/>
    </xf>
    <xf borderId="0" fillId="6" fontId="22" numFmtId="2" xfId="0" applyAlignment="1" applyFill="1" applyFont="1" applyNumberFormat="1">
      <alignment shrinkToFit="0" vertical="center" wrapText="1"/>
    </xf>
    <xf borderId="0" fillId="6" fontId="22" numFmtId="10" xfId="0" applyAlignment="1" applyFill="1" applyFont="1" applyNumberFormat="1">
      <alignment shrinkToFit="0" vertical="center" wrapText="1"/>
    </xf>
    <xf borderId="0" fillId="6" fontId="22" numFmtId="166" xfId="0" applyAlignment="1" applyFill="1" applyFont="1" applyNumberFormat="1">
      <alignment shrinkToFit="0" vertical="center" wrapText="1"/>
    </xf>
    <xf borderId="0" fillId="0" fontId="21" numFmtId="2" xfId="0" applyAlignment="1" applyFont="1" applyNumberFormat="1">
      <alignment readingOrder="0" shrinkToFit="0" vertical="center" wrapText="1"/>
    </xf>
    <xf borderId="0" fillId="12" fontId="21" numFmtId="166" xfId="0" applyAlignment="1" applyFill="1" applyFont="1" applyNumberFormat="1">
      <alignment shrinkToFit="0" vertical="center" wrapText="1"/>
    </xf>
    <xf borderId="0" fillId="0" fontId="21" numFmtId="0" xfId="0" applyAlignment="1" applyFont="1">
      <alignment readingOrder="0" shrinkToFit="0" vertical="center" wrapText="1"/>
    </xf>
    <xf borderId="1" fillId="0" fontId="8" numFmtId="164" xfId="0" applyAlignment="1" applyBorder="1" applyFont="1" applyNumberFormat="1">
      <alignment shrinkToFit="0" vertical="center" wrapText="0"/>
    </xf>
    <xf borderId="1" fillId="0" fontId="7" numFmtId="164" xfId="0" applyAlignment="1" applyBorder="1" applyFont="1" applyNumberFormat="1">
      <alignment shrinkToFit="0" vertical="center" wrapText="0"/>
    </xf>
    <xf borderId="0" fillId="8" fontId="7" numFmtId="166" xfId="0" applyAlignment="1" applyFill="1" applyFont="1" applyNumberFormat="1">
      <alignment vertical="center"/>
    </xf>
    <xf borderId="0" fillId="0" fontId="3" numFmtId="166" xfId="0" applyAlignment="1" applyFont="1" applyNumberFormat="1">
      <alignment vertical="center"/>
    </xf>
    <xf borderId="0" fillId="0" fontId="3" numFmtId="167" xfId="0" applyAlignment="1" applyFont="1" applyNumberFormat="1">
      <alignment vertical="center"/>
    </xf>
    <xf borderId="0" fillId="0" fontId="23" numFmtId="0" xfId="0" applyAlignment="1" applyFont="1">
      <alignment readingOrder="0" shrinkToFit="0" wrapText="1"/>
    </xf>
    <xf borderId="0" fillId="9" fontId="14" numFmtId="0" xfId="0" applyAlignment="1" applyFill="1" applyFont="1">
      <alignment shrinkToFit="0" vertical="center" wrapText="1"/>
    </xf>
    <xf borderId="0" fillId="0" fontId="15" numFmtId="174" xfId="0" applyAlignment="1" applyFont="1" applyNumberFormat="1">
      <alignment shrinkToFit="0" vertical="center" wrapText="1"/>
    </xf>
    <xf borderId="0" fillId="0" fontId="15" numFmtId="165" xfId="0" applyAlignment="1" applyFont="1" applyNumberFormat="1">
      <alignment shrinkToFit="0" vertical="center" wrapText="1"/>
    </xf>
    <xf quotePrefix="1" borderId="0" fillId="9" fontId="14" numFmtId="0" xfId="0" applyAlignment="1" applyFill="1" applyFont="1">
      <alignment readingOrder="0" shrinkToFit="0" vertical="center" wrapText="1"/>
    </xf>
    <xf borderId="0" fillId="0" fontId="24" numFmtId="174" xfId="0" applyAlignment="1" applyFont="1" applyNumberFormat="1">
      <alignment shrinkToFit="0" vertical="center" wrapText="1"/>
    </xf>
    <xf borderId="0" fillId="0" fontId="24" numFmtId="172" xfId="0" applyAlignment="1" applyFont="1" applyNumberFormat="1">
      <alignment shrinkToFit="0" vertical="center" wrapText="1"/>
    </xf>
    <xf borderId="0" fillId="11" fontId="17" numFmtId="174" xfId="0" applyAlignment="1" applyFill="1" applyFont="1" applyNumberFormat="1">
      <alignment shrinkToFit="0" vertical="center" wrapText="1"/>
    </xf>
    <xf borderId="0" fillId="11" fontId="17" numFmtId="0" xfId="0" applyAlignment="1" applyFill="1" applyFont="1">
      <alignment shrinkToFit="0" vertical="center" wrapText="1"/>
    </xf>
    <xf borderId="0" fillId="0" fontId="1" numFmtId="0" xfId="0" applyAlignment="1" applyFont="1">
      <alignment shrinkToFit="0" vertical="center" wrapText="0"/>
    </xf>
    <xf borderId="0" fillId="0" fontId="3" numFmtId="166" xfId="0" applyAlignment="1" applyFont="1" applyNumberFormat="1">
      <alignment shrinkToFit="0" vertical="center" wrapText="0"/>
    </xf>
    <xf borderId="0" fillId="8" fontId="7" numFmtId="0" xfId="0" applyAlignment="1" applyFill="1" applyFont="1">
      <alignment shrinkToFit="0" vertical="center" wrapText="0"/>
    </xf>
    <xf borderId="0" fillId="8" fontId="25" numFmtId="166" xfId="0" applyAlignment="1" applyFill="1" applyFont="1" applyNumberFormat="1">
      <alignment shrinkToFit="0" vertical="center" wrapText="0"/>
    </xf>
    <xf borderId="0" fillId="0" fontId="26" numFmtId="166" xfId="0" applyAlignment="1" applyFont="1" applyNumberFormat="1">
      <alignment shrinkToFit="0" vertical="center" wrapText="0"/>
    </xf>
    <xf borderId="1" fillId="0" fontId="25" numFmtId="166" xfId="0" applyAlignment="1" applyBorder="1" applyFont="1" applyNumberFormat="1">
      <alignment shrinkToFit="0" vertical="center" wrapText="0"/>
    </xf>
    <xf borderId="0" fillId="0" fontId="26" numFmtId="171" xfId="0" applyAlignment="1" applyFont="1" applyNumberFormat="1">
      <alignment shrinkToFit="0" vertical="center" wrapText="0"/>
    </xf>
    <xf borderId="0" fillId="0" fontId="26" numFmtId="167" xfId="0" applyAlignment="1" applyFont="1" applyNumberFormat="1">
      <alignment shrinkToFit="0" vertical="center" wrapText="0"/>
    </xf>
    <xf borderId="0" fillId="2" fontId="5" numFmtId="0" xfId="0" applyAlignment="1" applyFill="1" applyFont="1">
      <alignment readingOrder="0" shrinkToFit="0" vertical="center" wrapText="1"/>
    </xf>
    <xf borderId="1" fillId="0" fontId="25" numFmtId="164" xfId="0" applyAlignment="1" applyBorder="1" applyFont="1" applyNumberFormat="1">
      <alignment shrinkToFit="0" vertical="center" wrapText="0"/>
    </xf>
    <xf borderId="0" fillId="0" fontId="27" numFmtId="0" xfId="0" applyAlignment="1" applyFont="1">
      <alignment readingOrder="0" shrinkToFit="0" vertical="center" wrapText="1"/>
    </xf>
    <xf borderId="0" fillId="0" fontId="6" numFmtId="175" xfId="0" applyAlignment="1" applyFont="1" applyNumberFormat="1">
      <alignment shrinkToFit="0" vertical="center" wrapText="0"/>
    </xf>
    <xf borderId="0" fillId="0" fontId="3" numFmtId="175" xfId="0" applyAlignment="1" applyFont="1" applyNumberFormat="1">
      <alignment shrinkToFit="0" vertical="center" wrapText="0"/>
    </xf>
    <xf borderId="0" fillId="0" fontId="3" numFmtId="176" xfId="0" applyAlignment="1" applyFont="1" applyNumberFormat="1">
      <alignment shrinkToFit="0" vertical="center" wrapText="0"/>
    </xf>
    <xf borderId="1" fillId="0" fontId="7" numFmtId="167" xfId="0" applyAlignment="1" applyBorder="1" applyFont="1" applyNumberFormat="1">
      <alignment shrinkToFit="0" vertical="center" wrapText="0"/>
    </xf>
    <xf borderId="0" fillId="0" fontId="4" numFmtId="175" xfId="0" applyAlignment="1" applyFont="1" applyNumberFormat="1">
      <alignment shrinkToFit="0" vertical="center" wrapText="0"/>
    </xf>
    <xf borderId="0" fillId="9" fontId="14" numFmtId="174" xfId="0" applyAlignment="1" applyFill="1" applyFont="1" applyNumberFormat="1">
      <alignment shrinkToFit="0" vertical="center" wrapText="1"/>
    </xf>
    <xf borderId="0" fillId="4" fontId="15" numFmtId="0" xfId="0" applyAlignment="1" applyFill="1" applyFont="1">
      <alignment shrinkToFit="0" vertical="center" wrapText="1"/>
    </xf>
    <xf borderId="0" fillId="4" fontId="15" numFmtId="174" xfId="0" applyAlignment="1" applyFill="1" applyFont="1" applyNumberFormat="1">
      <alignment shrinkToFit="0" vertical="center" wrapText="1"/>
    </xf>
    <xf borderId="0" fillId="4" fontId="15" numFmtId="0" xfId="0" applyAlignment="1" applyFill="1" applyFont="1">
      <alignment readingOrder="0" shrinkToFit="0" vertical="center" wrapText="1"/>
    </xf>
    <xf borderId="0" fillId="0" fontId="15" numFmtId="173" xfId="0" applyAlignment="1" applyFont="1" applyNumberFormat="1">
      <alignment shrinkToFit="0" vertical="center" wrapText="1"/>
    </xf>
    <xf borderId="0" fillId="0" fontId="27" numFmtId="0" xfId="0" applyAlignment="1" applyFont="1">
      <alignment readingOrder="0" shrinkToFit="0" wrapText="1"/>
    </xf>
    <xf borderId="0" fillId="0" fontId="26" numFmtId="165" xfId="0" applyAlignment="1" applyFont="1" applyNumberFormat="1">
      <alignment shrinkToFit="0" vertical="center" wrapText="0"/>
    </xf>
    <xf borderId="0" fillId="0" fontId="26" numFmtId="175" xfId="0" applyAlignment="1" applyFont="1" applyNumberFormat="1">
      <alignment shrinkToFit="0" vertical="center" wrapText="0"/>
    </xf>
    <xf borderId="0" fillId="0" fontId="26" numFmtId="166" xfId="0" applyAlignment="1" applyFont="1" applyNumberFormat="1">
      <alignment shrinkToFit="0" vertical="center" wrapText="1"/>
    </xf>
    <xf borderId="0" fillId="6" fontId="11" numFmtId="0" xfId="0" applyFill="1" applyFont="1"/>
    <xf borderId="0" fillId="0" fontId="9" numFmtId="167" xfId="0" applyFont="1" applyNumberFormat="1"/>
    <xf borderId="0" fillId="0" fontId="15" numFmtId="172" xfId="0" applyAlignment="1" applyFont="1" applyNumberFormat="1">
      <alignment readingOrder="0" shrinkToFit="0" vertical="center" wrapText="1"/>
    </xf>
    <xf borderId="0" fillId="0" fontId="11" numFmtId="0" xfId="0" applyAlignment="1" applyFont="1">
      <alignment readingOrder="0"/>
    </xf>
    <xf borderId="0" fillId="0" fontId="9" numFmtId="177" xfId="0" applyFont="1" applyNumberFormat="1"/>
    <xf borderId="0" fillId="0" fontId="9" numFmtId="178" xfId="0" applyFont="1" applyNumberFormat="1"/>
    <xf borderId="0" fillId="0" fontId="9" numFmtId="164" xfId="0" applyFont="1" applyNumberFormat="1"/>
    <xf borderId="0" fillId="0" fontId="12" numFmtId="0" xfId="0" applyAlignment="1" applyFont="1">
      <alignment readingOrder="0"/>
    </xf>
    <xf borderId="0" fillId="0" fontId="11" numFmtId="0" xfId="0" applyFont="1"/>
    <xf borderId="0" fillId="0" fontId="9" numFmtId="0" xfId="0" applyAlignment="1" applyFont="1">
      <alignment readingOrder="0" shrinkToFit="0" wrapText="1"/>
    </xf>
    <xf borderId="0" fillId="0" fontId="9" numFmtId="2" xfId="0" applyFont="1" applyNumberFormat="1"/>
    <xf borderId="0" fillId="0" fontId="19" numFmtId="2" xfId="0" applyAlignment="1" applyFont="1" applyNumberFormat="1">
      <alignment readingOrder="0"/>
    </xf>
    <xf borderId="0" fillId="0" fontId="9" numFmtId="179" xfId="0" applyFont="1" applyNumberFormat="1"/>
    <xf borderId="0" fillId="0" fontId="19" numFmtId="179" xfId="0" applyAlignment="1" applyFont="1" applyNumberFormat="1">
      <alignment readingOrder="0"/>
    </xf>
    <xf borderId="0" fillId="0" fontId="19" numFmtId="177" xfId="0" applyFont="1" applyNumberFormat="1"/>
    <xf borderId="0" fillId="0" fontId="19" numFmtId="177" xfId="0" applyAlignment="1" applyFont="1" applyNumberFormat="1">
      <alignment readingOrder="0"/>
    </xf>
    <xf borderId="0" fillId="0" fontId="9" numFmtId="167" xfId="0" applyAlignment="1" applyFont="1" applyNumberFormat="1">
      <alignment readingOrder="0"/>
    </xf>
    <xf borderId="0" fillId="0" fontId="19" numFmtId="167" xfId="0" applyAlignment="1" applyFont="1" applyNumberFormat="1">
      <alignment readingOrder="0"/>
    </xf>
    <xf borderId="0" fillId="0" fontId="19" numFmtId="167" xfId="0" applyFont="1" applyNumberFormat="1"/>
    <xf borderId="0" fillId="0" fontId="9" numFmtId="177" xfId="0" applyAlignment="1" applyFont="1" applyNumberFormat="1">
      <alignment readingOrder="0"/>
    </xf>
    <xf borderId="0" fillId="0" fontId="9" numFmtId="180" xfId="0" applyFont="1" applyNumberFormat="1"/>
    <xf borderId="0" fillId="0" fontId="11" numFmtId="0" xfId="0" applyAlignment="1" applyFont="1">
      <alignment readingOrder="0" shrinkToFit="0" wrapText="1"/>
    </xf>
    <xf borderId="0" fillId="0" fontId="9" numFmtId="3" xfId="0" applyFont="1" applyNumberFormat="1"/>
    <xf borderId="0" fillId="0" fontId="9" numFmtId="3" xfId="0" applyAlignment="1" applyFont="1" applyNumberFormat="1">
      <alignment readingOrder="0"/>
    </xf>
    <xf borderId="0" fillId="0" fontId="11" numFmtId="0" xfId="0" applyAlignment="1" applyFont="1">
      <alignment shrinkToFit="0" wrapText="1"/>
    </xf>
    <xf borderId="0" fillId="0" fontId="19" numFmtId="3" xfId="0" applyAlignment="1" applyFont="1" applyNumberFormat="1">
      <alignment readingOrder="0"/>
    </xf>
    <xf borderId="0" fillId="0" fontId="19" numFmtId="9" xfId="0" applyAlignment="1" applyFont="1" applyNumberFormat="1">
      <alignment readingOrder="0"/>
    </xf>
    <xf borderId="0" fillId="0" fontId="11" numFmtId="177" xfId="0" applyFont="1" applyNumberFormat="1"/>
    <xf borderId="0" fillId="0" fontId="11" numFmtId="167" xfId="0" applyFont="1" applyNumberFormat="1"/>
    <xf borderId="0" fillId="0" fontId="9" numFmtId="0" xfId="0" applyAlignment="1" applyFont="1">
      <alignment readingOrder="0" shrinkToFit="0" wrapText="0"/>
    </xf>
    <xf borderId="0" fillId="0" fontId="9" numFmtId="0" xfId="0" applyAlignment="1" applyFont="1">
      <alignment shrinkToFit="0" wrapText="0"/>
    </xf>
    <xf borderId="0" fillId="13" fontId="28" numFmtId="0" xfId="0" applyAlignment="1" applyFill="1" applyFont="1">
      <alignment shrinkToFit="0" vertical="top" wrapText="1"/>
    </xf>
    <xf borderId="0" fillId="0" fontId="21" numFmtId="0" xfId="0" applyAlignment="1" applyFont="1">
      <alignment shrinkToFit="0" vertical="top" wrapText="1"/>
    </xf>
    <xf borderId="0" fillId="0" fontId="21" numFmtId="177" xfId="0" applyAlignment="1" applyFont="1" applyNumberFormat="1">
      <alignment shrinkToFit="0" vertical="top" wrapText="1"/>
    </xf>
    <xf borderId="0" fillId="0" fontId="21" numFmtId="3" xfId="0" applyAlignment="1" applyFont="1" applyNumberFormat="1">
      <alignment shrinkToFit="0" vertical="top" wrapText="1"/>
    </xf>
    <xf borderId="0" fillId="0" fontId="9" numFmtId="0" xfId="0" applyAlignment="1" applyFont="1">
      <alignment readingOrder="0" shrinkToFit="0" vertical="top" wrapText="1"/>
    </xf>
    <xf borderId="0" fillId="0" fontId="11" numFmtId="0" xfId="0" applyAlignment="1" applyFont="1">
      <alignment readingOrder="0" shrinkToFit="0" vertical="top" wrapText="1"/>
    </xf>
    <xf borderId="0" fillId="0" fontId="9" numFmtId="9" xfId="0" applyAlignment="1" applyFont="1" applyNumberFormat="1">
      <alignment readingOrder="0" shrinkToFit="0" vertical="top" wrapText="1"/>
    </xf>
    <xf quotePrefix="1" borderId="0" fillId="0" fontId="9" numFmtId="0" xfId="0" applyAlignment="1" applyFont="1">
      <alignment readingOrder="0" shrinkToFit="0" vertical="top" wrapText="1"/>
    </xf>
    <xf borderId="0" fillId="0" fontId="9" numFmtId="10" xfId="0" applyAlignment="1" applyFont="1" applyNumberFormat="1">
      <alignment readingOrder="0" shrinkToFit="0" vertical="top" wrapText="1"/>
    </xf>
    <xf borderId="0" fillId="0" fontId="9" numFmtId="0" xfId="0" applyAlignment="1" applyFont="1">
      <alignment shrinkToFit="0" vertical="top" wrapText="1"/>
    </xf>
    <xf borderId="0" fillId="0" fontId="11" numFmtId="0" xfId="0" applyAlignment="1" applyFont="1">
      <alignment shrinkToFit="0" vertical="top" wrapText="1"/>
    </xf>
    <xf borderId="0" fillId="0" fontId="9" numFmtId="175" xfId="0" applyAlignment="1" applyFont="1" applyNumberFormat="1">
      <alignment readingOrder="0" shrinkToFit="0" vertical="top" wrapText="1"/>
    </xf>
    <xf borderId="0" fillId="0" fontId="9" numFmtId="2" xfId="0" applyAlignment="1" applyFont="1" applyNumberFormat="1">
      <alignment readingOrder="0" shrinkToFit="0" vertical="top" wrapText="1"/>
    </xf>
    <xf borderId="0" fillId="0" fontId="9" numFmtId="1" xfId="0" applyAlignment="1" applyFont="1" applyNumberFormat="1">
      <alignment readingOrder="0" shrinkToFit="0" vertical="top" wrapText="1"/>
    </xf>
    <xf borderId="0" fillId="0" fontId="11" numFmtId="0" xfId="0" applyAlignment="1" applyFont="1">
      <alignment readingOrder="0" shrinkToFit="0" vertical="top" wrapText="1"/>
    </xf>
    <xf borderId="0" fillId="0" fontId="9" numFmtId="0" xfId="0" applyAlignment="1" applyFont="1">
      <alignment readingOrder="0" shrinkToFit="0" vertical="top" wrapText="1"/>
    </xf>
    <xf borderId="0" fillId="0" fontId="9" numFmtId="179" xfId="0" applyAlignment="1" applyFont="1" applyNumberFormat="1">
      <alignment readingOrder="0" shrinkToFit="0" vertical="top" wrapText="1"/>
    </xf>
    <xf borderId="0" fillId="0" fontId="9" numFmtId="167" xfId="0" applyAlignment="1" applyFont="1" applyNumberFormat="1">
      <alignment readingOrder="0" shrinkToFit="0" vertical="top" wrapText="1"/>
    </xf>
    <xf borderId="0" fillId="0" fontId="9" numFmtId="179" xfId="0" applyAlignment="1" applyFont="1" applyNumberFormat="1">
      <alignment shrinkToFit="0" vertical="top" wrapText="1"/>
    </xf>
    <xf borderId="0" fillId="0" fontId="20" numFmtId="0" xfId="0" applyAlignment="1" applyFont="1">
      <alignment readingOrder="0" shrinkToFit="0" vertical="center" wrapText="1"/>
    </xf>
    <xf borderId="0" fillId="5" fontId="10" numFmtId="0" xfId="0" applyAlignment="1" applyFill="1" applyFont="1">
      <alignment readingOrder="0" shrinkToFit="0" vertical="center" wrapText="1"/>
    </xf>
    <xf borderId="0" fillId="12" fontId="21" numFmtId="167" xfId="0" applyAlignment="1" applyFill="1" applyFont="1" applyNumberFormat="1">
      <alignment shrinkToFit="0" vertical="center" wrapText="1"/>
    </xf>
    <xf borderId="0" fillId="12" fontId="21" numFmtId="166" xfId="0" applyAlignment="1" applyFill="1" applyFont="1" applyNumberFormat="1">
      <alignment readingOrder="0" shrinkToFit="0" vertical="center" wrapText="1"/>
    </xf>
    <xf borderId="0" fillId="5" fontId="10" numFmtId="0" xfId="0" applyAlignment="1" applyFill="1" applyFont="1">
      <alignment readingOrder="0"/>
    </xf>
    <xf borderId="0" fillId="6" fontId="22" numFmtId="0" xfId="0" applyAlignment="1" applyFill="1" applyFont="1">
      <alignment readingOrder="0" shrinkToFit="0" vertical="center" wrapText="1"/>
    </xf>
    <xf borderId="0" fillId="0" fontId="15" numFmtId="174" xfId="0" applyAlignment="1" applyFont="1" applyNumberFormat="1">
      <alignment readingOrder="0" shrinkToFit="0" vertical="center" wrapText="1"/>
    </xf>
    <xf quotePrefix="1" borderId="0" fillId="0" fontId="15" numFmtId="174" xfId="0" applyAlignment="1" applyFont="1" applyNumberFormat="1">
      <alignment readingOrder="0" shrinkToFit="0" vertical="center" wrapText="1"/>
    </xf>
    <xf borderId="0" fillId="2" fontId="10" numFmtId="0" xfId="0" applyAlignment="1" applyFill="1" applyFont="1">
      <alignment shrinkToFit="0" vertical="center" wrapText="1"/>
    </xf>
    <xf quotePrefix="1" borderId="0" fillId="2" fontId="10" numFmtId="0" xfId="0" applyAlignment="1" applyFill="1" applyFont="1">
      <alignment shrinkToFit="0" vertical="center" wrapText="1"/>
    </xf>
    <xf borderId="0" fillId="2" fontId="10" numFmtId="0" xfId="0" applyAlignment="1" applyFill="1" applyFont="1">
      <alignment readingOrder="0" shrinkToFit="0" vertical="center" wrapText="1"/>
    </xf>
    <xf borderId="0" fillId="0" fontId="29" numFmtId="3" xfId="0" applyAlignment="1" applyFont="1" applyNumberFormat="1">
      <alignment readingOrder="0" shrinkToFit="0" vertical="center" wrapText="0"/>
    </xf>
    <xf borderId="0" fillId="0" fontId="3" numFmtId="3" xfId="0" applyAlignment="1" applyFont="1" applyNumberFormat="1">
      <alignment shrinkToFit="0" vertical="center" wrapText="0"/>
    </xf>
    <xf borderId="1" fillId="0" fontId="7" numFmtId="0" xfId="0" applyAlignment="1" applyBorder="1" applyFont="1">
      <alignment readingOrder="0" shrinkToFit="0" vertical="center" wrapText="0"/>
    </xf>
    <xf borderId="1" fillId="0" fontId="7" numFmtId="3" xfId="0" applyAlignment="1" applyBorder="1" applyFont="1" applyNumberFormat="1">
      <alignment shrinkToFit="0" vertical="center" wrapText="0"/>
    </xf>
    <xf borderId="0" fillId="0" fontId="4" numFmtId="176" xfId="0" applyAlignment="1" applyFont="1" applyNumberFormat="1">
      <alignment shrinkToFit="0" vertical="center" wrapText="0"/>
    </xf>
    <xf borderId="0" fillId="2" fontId="10" numFmtId="0" xfId="0" applyAlignment="1" applyFill="1" applyFont="1">
      <alignment readingOrder="0" shrinkToFit="0" vertical="center" wrapText="1"/>
    </xf>
    <xf quotePrefix="1" borderId="0" fillId="2" fontId="10" numFmtId="0" xfId="0" applyAlignment="1" applyFill="1" applyFont="1">
      <alignment readingOrder="0" shrinkToFit="0" vertical="center" wrapText="1"/>
    </xf>
    <xf quotePrefix="1" borderId="0" fillId="2" fontId="10" numFmtId="0" xfId="0" applyAlignment="1" applyFill="1" applyFont="1">
      <alignment readingOrder="0" shrinkToFit="0" vertical="center" wrapText="1"/>
    </xf>
    <xf borderId="1" fillId="0" fontId="7" numFmtId="164" xfId="0" applyAlignment="1" applyBorder="1" applyFont="1" applyNumberFormat="1">
      <alignment readingOrder="0" shrinkToFit="0" vertical="center" wrapText="0"/>
    </xf>
    <xf borderId="0" fillId="0" fontId="30" numFmtId="0" xfId="0" applyFont="1"/>
    <xf borderId="0" fillId="0" fontId="31" numFmtId="0" xfId="0" applyFont="1"/>
    <xf borderId="0" fillId="14" fontId="32" numFmtId="0" xfId="0" applyAlignment="1" applyFill="1" applyFont="1">
      <alignment vertical="center"/>
    </xf>
    <xf borderId="0" fillId="15" fontId="32" numFmtId="0" xfId="0" applyAlignment="1" applyFill="1" applyFont="1">
      <alignment vertical="center"/>
    </xf>
    <xf borderId="0" fillId="16" fontId="33" numFmtId="0" xfId="0" applyFill="1" applyFont="1"/>
    <xf borderId="0" fillId="17" fontId="32" numFmtId="0" xfId="0" applyAlignment="1" applyFill="1" applyFont="1">
      <alignment vertical="center"/>
    </xf>
    <xf borderId="0" fillId="0" fontId="34" numFmtId="0" xfId="0" applyFont="1"/>
    <xf borderId="0" fillId="0" fontId="35" numFmtId="181" xfId="0" applyFont="1" applyNumberFormat="1"/>
    <xf borderId="2" fillId="16" fontId="36" numFmtId="0" xfId="0" applyBorder="1" applyFill="1" applyFont="1"/>
    <xf borderId="2" fillId="16" fontId="37" numFmtId="181" xfId="0" applyBorder="1" applyFill="1" applyFont="1" applyNumberFormat="1"/>
    <xf borderId="0" fillId="0" fontId="35" numFmtId="182" xfId="0" applyFont="1" applyNumberFormat="1"/>
    <xf borderId="0" fillId="0" fontId="9" numFmtId="0" xfId="0" applyFont="1"/>
    <xf borderId="0" fillId="0" fontId="6" numFmtId="164" xfId="0" applyAlignment="1" applyFont="1" applyNumberFormat="1">
      <alignment shrinkToFit="0" vertical="center" wrapText="0"/>
    </xf>
    <xf borderId="0" fillId="0" fontId="6" numFmtId="164" xfId="0" applyAlignment="1" applyFont="1" applyNumberFormat="1">
      <alignment shrinkToFit="0" vertical="center" wrapText="1"/>
    </xf>
    <xf quotePrefix="1" borderId="0" fillId="0" fontId="3" numFmtId="0" xfId="0" applyAlignment="1" applyFont="1">
      <alignment shrinkToFit="0" vertical="center" wrapText="0"/>
    </xf>
    <xf borderId="0" fillId="0" fontId="3" numFmtId="167" xfId="0" applyAlignment="1" applyFont="1" applyNumberFormat="1">
      <alignment readingOrder="0" shrinkToFit="0" vertical="center" wrapText="1"/>
    </xf>
    <xf borderId="0" fillId="0" fontId="38" numFmtId="0" xfId="0" applyAlignment="1" applyFont="1">
      <alignment readingOrder="0" shrinkToFit="0" vertical="center" wrapText="1"/>
    </xf>
    <xf borderId="0" fillId="0" fontId="3" numFmtId="167" xfId="0" applyAlignment="1" applyFont="1" applyNumberFormat="1">
      <alignment shrinkToFit="0" vertical="center" wrapText="1"/>
    </xf>
    <xf borderId="0" fillId="0" fontId="39" numFmtId="0" xfId="0" applyAlignment="1" applyFont="1">
      <alignment readingOrder="0"/>
    </xf>
    <xf borderId="0" fillId="0" fontId="9" numFmtId="172" xfId="0" applyFont="1" applyNumberFormat="1"/>
    <xf borderId="0" fillId="0" fontId="9" numFmtId="168" xfId="0" applyFont="1" applyNumberFormat="1"/>
    <xf borderId="0" fillId="18" fontId="10" numFmtId="10" xfId="0" applyAlignment="1" applyFill="1" applyFont="1" applyNumberFormat="1">
      <alignment horizontal="center"/>
    </xf>
    <xf borderId="0" fillId="0" fontId="11" numFmtId="167" xfId="0" applyAlignment="1" applyFont="1" applyNumberFormat="1">
      <alignment horizontal="center" readingOrder="0"/>
    </xf>
    <xf borderId="0" fillId="0" fontId="9" numFmtId="2" xfId="0" applyAlignment="1" applyFont="1" applyNumberFormat="1">
      <alignment horizontal="center"/>
    </xf>
    <xf borderId="3" fillId="0" fontId="9" numFmtId="2" xfId="0" applyAlignment="1" applyBorder="1" applyFont="1" applyNumberFormat="1">
      <alignment horizontal="center"/>
    </xf>
    <xf borderId="0" fillId="0" fontId="11" numFmtId="167" xfId="0" applyAlignment="1" applyFont="1" applyNumberFormat="1">
      <alignment horizontal="center"/>
    </xf>
    <xf borderId="0" fillId="0" fontId="9" numFmtId="183" xfId="0" applyAlignment="1" applyFont="1" applyNumberFormat="1">
      <alignment horizontal="center"/>
    </xf>
    <xf borderId="3" fillId="0" fontId="9" numFmtId="183" xfId="0" applyAlignment="1" applyBorder="1" applyFont="1" applyNumberFormat="1">
      <alignment horizontal="center"/>
    </xf>
    <xf borderId="0" fillId="0" fontId="9" numFmtId="184" xfId="0" applyFont="1" applyNumberFormat="1"/>
    <xf borderId="0" fillId="0" fontId="9" numFmtId="18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home.treasury.gov/resource-center/data-chart-center/interest-rates/TextView?type=daily_treasury_yield_curve&amp;field_tdr_date_value_month=202610" TargetMode="External"/><Relationship Id="rId2" Type="http://schemas.openxmlformats.org/officeDocument/2006/relationships/hyperlink" Target="https://www.sec.gov/Archives/edgar/data/1652044/000165204426000071/goog-20260630.htm"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0"/>
    <col customWidth="1" min="2" max="2" width="14.88"/>
    <col customWidth="1" min="3" max="3" width="22.25"/>
    <col customWidth="1" min="4" max="7" width="14.88"/>
  </cols>
  <sheetData>
    <row r="1" ht="19.5" customHeight="1">
      <c r="A1" s="1" t="s">
        <v>0</v>
      </c>
    </row>
    <row r="2" ht="34.5" customHeight="1">
      <c r="A2" s="2" t="s">
        <v>1</v>
      </c>
    </row>
    <row r="3" ht="19.5" customHeight="1">
      <c r="A3" s="3" t="s">
        <v>2</v>
      </c>
      <c r="B3" s="4" t="str">
        <f>Assumptions!B3</f>
        <v>Base</v>
      </c>
      <c r="C3" s="3"/>
      <c r="D3" s="3"/>
      <c r="E3" s="3"/>
      <c r="F3" s="3"/>
      <c r="G3" s="3"/>
    </row>
    <row r="4" ht="19.5" customHeight="1">
      <c r="A4" s="3" t="s">
        <v>3</v>
      </c>
      <c r="B4" s="5">
        <f>Assumptions!B4</f>
        <v>46320</v>
      </c>
      <c r="C4" s="3"/>
      <c r="D4" s="3"/>
      <c r="E4" s="3"/>
      <c r="F4" s="3"/>
      <c r="G4" s="3"/>
    </row>
    <row r="5" ht="19.5" customHeight="1">
      <c r="A5" s="3"/>
      <c r="B5" s="3"/>
      <c r="C5" s="3"/>
      <c r="D5" s="3"/>
      <c r="E5" s="3"/>
      <c r="F5" s="3"/>
      <c r="G5" s="3"/>
    </row>
    <row r="6" ht="19.5" customHeight="1">
      <c r="A6" s="6" t="s">
        <v>4</v>
      </c>
      <c r="B6" s="6" t="s">
        <v>5</v>
      </c>
      <c r="C6" s="6" t="s">
        <v>6</v>
      </c>
      <c r="D6" s="6"/>
      <c r="E6" s="6"/>
      <c r="F6" s="6"/>
      <c r="G6" s="6"/>
    </row>
    <row r="7" ht="28.5" customHeight="1">
      <c r="A7" s="7" t="s">
        <v>7</v>
      </c>
      <c r="B7" s="8">
        <f>'Discount rate'!B7</f>
        <v>3916000</v>
      </c>
      <c r="C7" s="7" t="s">
        <v>8</v>
      </c>
    </row>
    <row r="8" ht="28.5" customHeight="1">
      <c r="A8" s="7" t="s">
        <v>9</v>
      </c>
      <c r="B8" s="9">
        <f>'Financial assets'!B37</f>
        <v>12156</v>
      </c>
      <c r="C8" s="7" t="s">
        <v>10</v>
      </c>
    </row>
    <row r="9" ht="28.5" customHeight="1">
      <c r="A9" s="10" t="s">
        <v>11</v>
      </c>
      <c r="B9" s="11">
        <f>'Sources and basis'!B89</f>
        <v>0.05</v>
      </c>
      <c r="C9" s="7" t="s">
        <v>12</v>
      </c>
    </row>
    <row r="10" ht="28.5" customHeight="1">
      <c r="A10" s="10" t="s">
        <v>13</v>
      </c>
      <c r="B10" s="12">
        <f>'Discount rate'!B16</f>
        <v>1.075850485</v>
      </c>
      <c r="C10" s="10" t="s">
        <v>14</v>
      </c>
    </row>
    <row r="11" ht="28.5" customHeight="1">
      <c r="A11" s="10" t="s">
        <v>15</v>
      </c>
      <c r="B11" s="13">
        <f>'Discount rate'!B9</f>
        <v>0.042</v>
      </c>
      <c r="C11" s="7" t="s">
        <v>16</v>
      </c>
    </row>
    <row r="12" ht="28.5" customHeight="1">
      <c r="A12" s="10" t="s">
        <v>17</v>
      </c>
      <c r="B12" s="13">
        <f>'Discount rate'!B30</f>
        <v>0.054</v>
      </c>
      <c r="C12" s="10" t="s">
        <v>18</v>
      </c>
    </row>
    <row r="13" ht="28.5" customHeight="1">
      <c r="A13" s="10" t="s">
        <v>19</v>
      </c>
      <c r="B13" s="8">
        <f>'Discount rate'!B22</f>
        <v>101586</v>
      </c>
      <c r="C13" s="10" t="s">
        <v>20</v>
      </c>
    </row>
    <row r="14" ht="28.5" customHeight="1">
      <c r="A14" s="10" t="s">
        <v>21</v>
      </c>
      <c r="B14" s="8">
        <f>'Discount rate'!B36</f>
        <v>17804.325</v>
      </c>
      <c r="C14" s="10" t="s">
        <v>22</v>
      </c>
    </row>
    <row r="15" ht="28.5" customHeight="1">
      <c r="A15" s="10" t="s">
        <v>23</v>
      </c>
      <c r="B15" s="13">
        <f>'Discount rate'!B37</f>
        <v>0.09518572036</v>
      </c>
      <c r="C15" s="10" t="s">
        <v>24</v>
      </c>
    </row>
    <row r="16" ht="28.5" customHeight="1">
      <c r="A16" s="10" t="s">
        <v>25</v>
      </c>
      <c r="B16" s="14">
        <f>'Sources and basis'!B55</f>
        <v>2590</v>
      </c>
      <c r="C16" s="15" t="s">
        <v>26</v>
      </c>
    </row>
    <row r="17" ht="28.5" customHeight="1">
      <c r="A17" s="10" t="s">
        <v>27</v>
      </c>
      <c r="B17" s="8">
        <f>IF(ISNUMBER('Discount rate'!B50),'Discount rate'!B50,"")</f>
        <v>7100</v>
      </c>
      <c r="C17" s="15" t="s">
        <v>28</v>
      </c>
    </row>
    <row r="18" ht="28.5" customHeight="1">
      <c r="A18" s="10" t="s">
        <v>29</v>
      </c>
      <c r="B18" s="8">
        <f>IF(ISNUMBER('Financial assets'!B33),'Financial assets'!B33,"")</f>
        <v>26051.53008</v>
      </c>
      <c r="C18" s="10" t="s">
        <v>30</v>
      </c>
    </row>
    <row r="19" ht="28.5" customHeight="1">
      <c r="A19" s="10" t="s">
        <v>31</v>
      </c>
      <c r="B19" s="8">
        <f>IF(COUNT('Financial assets'!H7:H10)=4,SUM('Financial assets'!H7:H10),"")</f>
        <v>170751.7426</v>
      </c>
      <c r="C19" s="10" t="s">
        <v>32</v>
      </c>
    </row>
    <row r="20" ht="28.5" customHeight="1">
      <c r="A20" s="10" t="s">
        <v>33</v>
      </c>
      <c r="B20" s="8">
        <f>IF(COUNT('Financial assets'!H11:H12)=2,SUM('Financial assets'!H11:H12),"")</f>
        <v>110463.1995</v>
      </c>
      <c r="C20" s="10" t="s">
        <v>34</v>
      </c>
    </row>
    <row r="21" ht="28.5" customHeight="1">
      <c r="A21" s="10" t="s">
        <v>35</v>
      </c>
      <c r="B21" s="16">
        <f>Assumptions!B197</f>
        <v>0.03</v>
      </c>
      <c r="C21" s="15" t="str">
        <f>"Base 3.0% (Bear 2.0%, Bull 3.5%); below WACC and the "&amp;TEXT('Discount rate'!B8,"0.00%")&amp;" Treasury yield"</f>
        <v>Base 3.0% (Bear 2.0%, Bull 3.5%); below WACC and the 5.00% Treasury yield</v>
      </c>
    </row>
    <row r="22" ht="28.5" customHeight="1">
      <c r="A22" s="10" t="s">
        <v>36</v>
      </c>
      <c r="B22" s="16">
        <f>Transition!B25</f>
        <v>0.12</v>
      </c>
      <c r="C22" s="15" t="s">
        <v>37</v>
      </c>
    </row>
    <row r="23" ht="28.5" customHeight="1">
      <c r="A23" s="10" t="s">
        <v>38</v>
      </c>
      <c r="B23" s="17" t="b">
        <v>0</v>
      </c>
      <c r="C23" s="15" t="s">
        <v>39</v>
      </c>
    </row>
    <row r="24" ht="19.5" customHeight="1">
      <c r="A24" s="18" t="s">
        <v>40</v>
      </c>
      <c r="B24" s="19">
        <v>1.0</v>
      </c>
      <c r="C24" s="18" t="s">
        <v>41</v>
      </c>
      <c r="D24" s="3"/>
      <c r="E24" s="3"/>
      <c r="F24" s="3"/>
      <c r="G24" s="3"/>
    </row>
    <row r="25" ht="19.5" customHeight="1">
      <c r="A25" s="3"/>
      <c r="B25" s="3"/>
      <c r="C25" s="3"/>
      <c r="D25" s="3"/>
      <c r="E25" s="3"/>
      <c r="F25" s="3"/>
      <c r="G25" s="3"/>
    </row>
    <row r="26" ht="19.5" customHeight="1">
      <c r="A26" s="3" t="s">
        <v>42</v>
      </c>
      <c r="B26" s="20">
        <f>IF(COUNT(B9:B11)=3,B9+B10*B11,"")</f>
        <v>0.09518572036</v>
      </c>
      <c r="C26" s="3"/>
      <c r="D26" s="3"/>
      <c r="E26" s="3"/>
      <c r="F26" s="3"/>
      <c r="G26" s="3"/>
    </row>
    <row r="27" ht="19.5" customHeight="1">
      <c r="A27" s="3" t="s">
        <v>43</v>
      </c>
      <c r="B27" s="21">
        <f>IF(ISNUMBER(B7),B7,"")</f>
        <v>3916000</v>
      </c>
      <c r="C27" s="3"/>
      <c r="D27" s="3"/>
      <c r="E27" s="3"/>
      <c r="F27" s="3"/>
      <c r="G27" s="3"/>
    </row>
    <row r="28" ht="19.5" customHeight="1">
      <c r="A28" s="3" t="s">
        <v>44</v>
      </c>
      <c r="B28" s="21">
        <f>IF(AND(ISNUMBER(B27),COUNT(B13:B14)=2,ISNUMBER(B16)),SUM(B27,B13:B14,B16),"")</f>
        <v>4037980.325</v>
      </c>
      <c r="C28" s="3"/>
      <c r="D28" s="3"/>
      <c r="E28" s="3"/>
      <c r="F28" s="3"/>
      <c r="G28" s="3"/>
    </row>
    <row r="29" ht="19.5" customHeight="1">
      <c r="A29" s="22" t="s">
        <v>45</v>
      </c>
      <c r="B29" s="23">
        <f>IF(AND(COUNT(B12:B16)=5,ISNUMBER(B26),ISNUMBER(B28),B28&gt;0),B27/B28*B26+(B13+B16)/B28*B12*(1-Assumptions!B5)+B14/B28*B15,"")</f>
        <v>0.09383060741</v>
      </c>
      <c r="C29" s="24" t="s">
        <v>46</v>
      </c>
      <c r="D29" s="22"/>
      <c r="E29" s="22"/>
      <c r="F29" s="22"/>
      <c r="G29" s="22"/>
    </row>
    <row r="30" ht="19.5" customHeight="1">
      <c r="A30" s="3" t="s">
        <v>47</v>
      </c>
      <c r="B30" s="21" t="str">
        <f>IF(COUNT(B7:B22)&lt;16,"Market / bridge inputs pending",IF(NOT(B23),"Baseline review pending",IF(OR(B29&lt;=B21,B22&lt;=B21),"Review terminal assumptions","Ready")))</f>
        <v>Baseline review pending</v>
      </c>
    </row>
    <row r="31" ht="19.5" customHeight="1">
      <c r="A31" s="3"/>
      <c r="B31" s="3"/>
      <c r="C31" s="3"/>
      <c r="D31" s="3"/>
      <c r="E31" s="3"/>
      <c r="F31" s="3"/>
      <c r="G31" s="3"/>
    </row>
    <row r="32" ht="19.5" customHeight="1">
      <c r="A32" s="3"/>
      <c r="B32" s="3"/>
      <c r="C32" s="3"/>
      <c r="D32" s="3"/>
      <c r="E32" s="3"/>
      <c r="F32" s="3"/>
      <c r="G32" s="3"/>
    </row>
    <row r="33" ht="19.5" customHeight="1">
      <c r="A33" s="25" t="s">
        <v>48</v>
      </c>
      <c r="B33" s="25" t="s">
        <v>49</v>
      </c>
      <c r="C33" s="26" t="s">
        <v>50</v>
      </c>
      <c r="D33" s="26" t="s">
        <v>51</v>
      </c>
      <c r="E33" s="26" t="s">
        <v>52</v>
      </c>
      <c r="F33" s="26" t="s">
        <v>53</v>
      </c>
      <c r="G33" s="26" t="s">
        <v>54</v>
      </c>
    </row>
    <row r="34" ht="19.5" customHeight="1">
      <c r="A34" s="3" t="s">
        <v>55</v>
      </c>
      <c r="B34" s="27">
        <f>DATE(2026,12,31)</f>
        <v>46387</v>
      </c>
      <c r="C34" s="27">
        <f>DATE(2027,12,31)</f>
        <v>46752</v>
      </c>
      <c r="D34" s="27">
        <f>DATE(2028,12,31)</f>
        <v>47118</v>
      </c>
      <c r="E34" s="27">
        <f>DATE(2029,12,31)</f>
        <v>47483</v>
      </c>
      <c r="F34" s="27">
        <f>DATE(2030,12,31)</f>
        <v>47848</v>
      </c>
      <c r="G34" s="27">
        <f>DATE(2031,12,31)</f>
        <v>48213</v>
      </c>
    </row>
    <row r="35" ht="19.5" customHeight="1">
      <c r="A35" s="3" t="s">
        <v>56</v>
      </c>
      <c r="B35" s="28">
        <f>YEARFRAC($B$4,B34,3)*IF($B$24=1,0.5,1)</f>
        <v>0.09178082192</v>
      </c>
      <c r="C35" s="28">
        <f t="shared" ref="C35:G35" si="1">YEARFRAC($B$4,C34,3)-IF($B$24=1,0.5,0)</f>
        <v>0.6835616438</v>
      </c>
      <c r="D35" s="28">
        <f t="shared" si="1"/>
        <v>1.68630137</v>
      </c>
      <c r="E35" s="28">
        <f t="shared" si="1"/>
        <v>2.68630137</v>
      </c>
      <c r="F35" s="28">
        <f t="shared" si="1"/>
        <v>3.68630137</v>
      </c>
      <c r="G35" s="28">
        <f t="shared" si="1"/>
        <v>4.68630137</v>
      </c>
    </row>
    <row r="36" ht="19.5" customHeight="1">
      <c r="A36" s="3" t="s">
        <v>57</v>
      </c>
      <c r="B36" s="29">
        <f>(B34-$B$4)/(B34-DATE(2026,6,30))</f>
        <v>0.3641304348</v>
      </c>
      <c r="C36" s="29">
        <f t="shared" ref="C36:G36" si="2">1</f>
        <v>1</v>
      </c>
      <c r="D36" s="29">
        <f t="shared" si="2"/>
        <v>1</v>
      </c>
      <c r="E36" s="29">
        <f t="shared" si="2"/>
        <v>1</v>
      </c>
      <c r="F36" s="29">
        <f t="shared" si="2"/>
        <v>1</v>
      </c>
      <c r="G36" s="29">
        <f t="shared" si="2"/>
        <v>1</v>
      </c>
    </row>
    <row r="37" ht="19.5" customHeight="1">
      <c r="A37" s="3" t="s">
        <v>58</v>
      </c>
      <c r="B37" s="4">
        <f>'Capital and FCFF'!B38</f>
        <v>-28017.16483</v>
      </c>
      <c r="C37" s="4">
        <f>'Capital and FCFF'!C38</f>
        <v>713.3955457</v>
      </c>
      <c r="D37" s="4">
        <f>'Capital and FCFF'!D38</f>
        <v>45919.55455</v>
      </c>
      <c r="E37" s="4">
        <f>'Capital and FCFF'!E38</f>
        <v>72623.18612</v>
      </c>
      <c r="F37" s="4">
        <f>'Capital and FCFF'!F38</f>
        <v>109739.8093</v>
      </c>
      <c r="G37" s="4">
        <f>'Capital and FCFF'!G38</f>
        <v>145130.8425</v>
      </c>
    </row>
    <row r="38" ht="19.5" customHeight="1">
      <c r="A38" s="3" t="s">
        <v>59</v>
      </c>
      <c r="B38" s="21">
        <f t="shared" ref="B38:G38" si="3">B37*B36</f>
        <v>-10201.90241</v>
      </c>
      <c r="C38" s="21">
        <f t="shared" si="3"/>
        <v>713.3955457</v>
      </c>
      <c r="D38" s="21">
        <f t="shared" si="3"/>
        <v>45919.55455</v>
      </c>
      <c r="E38" s="21">
        <f t="shared" si="3"/>
        <v>72623.18612</v>
      </c>
      <c r="F38" s="21">
        <f t="shared" si="3"/>
        <v>109739.8093</v>
      </c>
      <c r="G38" s="21">
        <f t="shared" si="3"/>
        <v>145130.8425</v>
      </c>
    </row>
    <row r="39" ht="19.5" customHeight="1">
      <c r="A39" s="3" t="s">
        <v>60</v>
      </c>
      <c r="B39" s="21">
        <f t="shared" ref="B39:G39" si="4">IF(AND(ISNUMBER($B$29),$B$29&gt;0),B38/(1+$B$29)^B35,"")</f>
        <v>-10118.27072</v>
      </c>
      <c r="C39" s="21">
        <f t="shared" si="4"/>
        <v>670.9738867</v>
      </c>
      <c r="D39" s="21">
        <f t="shared" si="4"/>
        <v>39474.4518</v>
      </c>
      <c r="E39" s="21">
        <f t="shared" si="4"/>
        <v>57074.70398</v>
      </c>
      <c r="F39" s="21">
        <f t="shared" si="4"/>
        <v>78846.51435</v>
      </c>
      <c r="G39" s="21">
        <f t="shared" si="4"/>
        <v>95329.63774</v>
      </c>
    </row>
    <row r="40" ht="19.5" customHeight="1">
      <c r="A40" s="3"/>
      <c r="B40" s="3"/>
      <c r="C40" s="3"/>
      <c r="D40" s="3"/>
      <c r="E40" s="3"/>
      <c r="F40" s="3"/>
      <c r="G40" s="3"/>
    </row>
    <row r="41" ht="19.5" customHeight="1">
      <c r="A41" s="3"/>
      <c r="B41" s="3"/>
      <c r="C41" s="3"/>
      <c r="D41" s="3"/>
      <c r="E41" s="3"/>
      <c r="F41" s="3"/>
      <c r="G41" s="3"/>
    </row>
    <row r="42" ht="19.5" customHeight="1">
      <c r="A42" s="25" t="s">
        <v>61</v>
      </c>
      <c r="B42" s="30">
        <f>Transition!H13</f>
        <v>286781.1881</v>
      </c>
      <c r="C42" s="25"/>
      <c r="D42" s="25"/>
      <c r="E42" s="25"/>
      <c r="F42" s="25"/>
      <c r="G42" s="25"/>
    </row>
    <row r="43" ht="19.5" customHeight="1">
      <c r="A43" s="3" t="s">
        <v>62</v>
      </c>
      <c r="B43" s="29">
        <f>Transition!H14</f>
        <v>0.25</v>
      </c>
      <c r="C43" s="3"/>
      <c r="D43" s="3"/>
      <c r="E43" s="3"/>
      <c r="F43" s="3"/>
      <c r="G43" s="3"/>
    </row>
    <row r="44" ht="19.5" customHeight="1">
      <c r="A44" s="3" t="s">
        <v>63</v>
      </c>
      <c r="B44" s="31">
        <f>Transition!H16</f>
        <v>215085.8911</v>
      </c>
      <c r="C44" s="3"/>
      <c r="D44" s="3"/>
      <c r="E44" s="3"/>
      <c r="F44" s="3"/>
      <c r="G44" s="3"/>
    </row>
    <row r="45" ht="19.5" customHeight="1">
      <c r="A45" s="3" t="s">
        <v>64</v>
      </c>
      <c r="B45" s="31">
        <f>IF(AND(ISNUMBER(B29),B29&gt;B21,B22&gt;B21),B44/(B29-B21),"")</f>
        <v>3369635.662</v>
      </c>
      <c r="C45" s="3"/>
      <c r="D45" s="3"/>
      <c r="E45" s="3"/>
      <c r="F45" s="3"/>
      <c r="G45" s="3"/>
    </row>
    <row r="46" ht="19.5" customHeight="1">
      <c r="A46" s="3" t="s">
        <v>65</v>
      </c>
      <c r="B46" s="31">
        <f>IF(ISNUMBER(B45),B45/(1+B29)^Transition!G19,"")</f>
        <v>1412821.805</v>
      </c>
      <c r="C46" s="3"/>
      <c r="D46" s="3"/>
      <c r="E46" s="3"/>
      <c r="F46" s="3"/>
      <c r="G46" s="3"/>
    </row>
    <row r="47" ht="19.5" customHeight="1">
      <c r="A47" s="3"/>
      <c r="B47" s="31"/>
      <c r="C47" s="3"/>
      <c r="D47" s="3"/>
      <c r="E47" s="3"/>
      <c r="F47" s="3"/>
      <c r="G47" s="3"/>
    </row>
    <row r="48" ht="19.5" customHeight="1">
      <c r="A48" s="32" t="s">
        <v>66</v>
      </c>
      <c r="B48" s="33">
        <f>IF(AND(COUNT(B39:G39)=6,COUNT(Transition!C20:G20)=5,ISNUMBER(B46)),SUM(B39:G39)+SUM(Transition!C20:G20)+B46,"")</f>
        <v>2167268.265</v>
      </c>
      <c r="C48" s="34"/>
      <c r="D48" s="34"/>
      <c r="E48" s="34"/>
      <c r="F48" s="34"/>
      <c r="G48" s="34"/>
    </row>
    <row r="49" ht="19.5" customHeight="1">
      <c r="A49" s="3" t="s">
        <v>67</v>
      </c>
      <c r="B49" s="31">
        <f>IF(COUNT(B18:B20)=3,SUM(B18:B20),"")</f>
        <v>307266.4721</v>
      </c>
      <c r="C49" s="3"/>
      <c r="D49" s="3"/>
      <c r="E49" s="3"/>
      <c r="F49" s="3"/>
      <c r="G49" s="3"/>
    </row>
    <row r="50" ht="19.5" customHeight="1">
      <c r="A50" s="35" t="s">
        <v>68</v>
      </c>
      <c r="B50" s="31">
        <f>IF(COUNT(B8,B13:B14,B16:B17)=5,SUM(B8,B13:B14,B16:B17),"")</f>
        <v>141236.325</v>
      </c>
      <c r="C50" s="3"/>
      <c r="D50" s="3"/>
      <c r="E50" s="3"/>
      <c r="F50" s="3"/>
      <c r="G50" s="3"/>
    </row>
    <row r="51" ht="19.5" customHeight="1">
      <c r="A51" s="22" t="s">
        <v>69</v>
      </c>
      <c r="B51" s="36" t="str">
        <f>IF(AND(B30="Ready",COUNT(B48:B50)=3),B48+B49-B50,"")</f>
        <v/>
      </c>
      <c r="C51" s="22"/>
      <c r="D51" s="22"/>
      <c r="E51" s="22"/>
      <c r="F51" s="22"/>
      <c r="G51" s="22"/>
    </row>
    <row r="52" ht="19.5" customHeight="1">
      <c r="A52" s="24" t="s">
        <v>70</v>
      </c>
      <c r="B52" s="37">
        <f>IF(AND(ISNUMBER(B27),ISNUMBER(B49),ISNUMBER(B50)),B27+B50-B49,"")</f>
        <v>3749969.853</v>
      </c>
      <c r="C52" s="22"/>
      <c r="D52" s="22"/>
      <c r="E52" s="22"/>
      <c r="F52" s="22"/>
      <c r="G52" s="22"/>
    </row>
    <row r="53" ht="19.5" customHeight="1">
      <c r="A53" s="35" t="s">
        <v>71</v>
      </c>
      <c r="B53" s="29" t="str">
        <f>IF(AND(B30="Ready",ISNUMBER(B48),ISNUMBER(B52),B52&gt;0),B48/B52-1,"")</f>
        <v/>
      </c>
      <c r="C53" s="3"/>
      <c r="D53" s="3"/>
      <c r="E53" s="3"/>
      <c r="F53" s="3"/>
      <c r="G53" s="3"/>
    </row>
    <row r="54" ht="19.5" customHeight="1">
      <c r="A54" s="38" t="s">
        <v>72</v>
      </c>
      <c r="B54" s="39" t="str">
        <f>IF(AND(B30="Ready",COUNT(B48,B52)=2),B48-B52,"")</f>
        <v/>
      </c>
      <c r="C54" s="39"/>
      <c r="D54" s="39"/>
      <c r="E54" s="39"/>
      <c r="F54" s="39"/>
      <c r="G54" s="39"/>
    </row>
    <row r="55" ht="19.5" customHeight="1">
      <c r="A55" s="3"/>
      <c r="B55" s="3"/>
      <c r="C55" s="3"/>
      <c r="D55" s="3"/>
      <c r="E55" s="3"/>
      <c r="F55" s="3"/>
      <c r="G55" s="3"/>
    </row>
    <row r="56" ht="38.25" customHeight="1">
      <c r="A56" s="25" t="s">
        <v>73</v>
      </c>
      <c r="B56" s="25" t="s">
        <v>74</v>
      </c>
      <c r="C56" s="25" t="s">
        <v>75</v>
      </c>
      <c r="D56" s="25"/>
      <c r="E56" s="25"/>
      <c r="F56" s="25"/>
      <c r="G56" s="25"/>
    </row>
    <row r="57" ht="19.5" customHeight="1">
      <c r="A57" s="3" t="s">
        <v>76</v>
      </c>
      <c r="B57" s="4">
        <f>'Balance sheet'!I10</f>
        <v>242474</v>
      </c>
      <c r="C57" s="3"/>
      <c r="D57" s="3"/>
      <c r="E57" s="3"/>
      <c r="F57" s="3"/>
      <c r="G57" s="3"/>
    </row>
    <row r="58" ht="19.5" customHeight="1">
      <c r="A58" s="3" t="s">
        <v>77</v>
      </c>
      <c r="B58" s="4">
        <f>'Balance sheet'!I17</f>
        <v>131461</v>
      </c>
      <c r="C58" s="3"/>
      <c r="D58" s="3"/>
      <c r="E58" s="3"/>
      <c r="F58" s="3"/>
      <c r="G58" s="3"/>
    </row>
    <row r="59" ht="19.5" customHeight="1">
      <c r="A59" s="3" t="s">
        <v>78</v>
      </c>
      <c r="B59" s="4">
        <f>'Balance sheet'!I35+'Sources and basis'!E37</f>
        <v>100164</v>
      </c>
      <c r="C59" s="3"/>
      <c r="D59" s="3"/>
      <c r="E59" s="3"/>
      <c r="F59" s="3"/>
      <c r="G59" s="3"/>
    </row>
    <row r="60" ht="19.5" customHeight="1">
      <c r="A60" s="3" t="s">
        <v>79</v>
      </c>
      <c r="B60" s="4">
        <f>'Balance sheet'!I44</f>
        <v>18023</v>
      </c>
      <c r="C60" s="3"/>
      <c r="D60" s="3"/>
      <c r="E60" s="3"/>
      <c r="F60" s="3"/>
      <c r="G60" s="3"/>
    </row>
    <row r="61" ht="19.5" customHeight="1">
      <c r="A61" s="3" t="s">
        <v>80</v>
      </c>
      <c r="B61" s="4">
        <f>'Sources and basis'!B54</f>
        <v>7100</v>
      </c>
      <c r="C61" s="3"/>
      <c r="D61" s="3"/>
      <c r="E61" s="3"/>
      <c r="F61" s="3"/>
      <c r="G61" s="3"/>
    </row>
    <row r="62" ht="19.5" customHeight="1">
      <c r="A62" s="3"/>
      <c r="B62" s="3"/>
      <c r="C62" s="3"/>
      <c r="D62" s="3"/>
      <c r="E62" s="3"/>
      <c r="F62" s="3"/>
      <c r="G62" s="3"/>
    </row>
    <row r="63" ht="34.5" customHeight="1">
      <c r="A63" s="2" t="s">
        <v>81</v>
      </c>
    </row>
    <row r="64" ht="34.5" customHeight="1">
      <c r="A64" s="2" t="s">
        <v>82</v>
      </c>
    </row>
    <row r="65" ht="34.5" customHeight="1">
      <c r="A65" s="2" t="s">
        <v>83</v>
      </c>
    </row>
    <row r="68" ht="36.0" customHeight="1">
      <c r="A68" s="40" t="s">
        <v>84</v>
      </c>
      <c r="B68" s="40" t="s">
        <v>85</v>
      </c>
      <c r="C68" s="40" t="s">
        <v>86</v>
      </c>
      <c r="D68" s="41"/>
      <c r="E68" s="41"/>
      <c r="F68" s="41"/>
      <c r="G68" s="41"/>
    </row>
    <row r="69" ht="36.0" customHeight="1">
      <c r="A69" s="40" t="s">
        <v>87</v>
      </c>
      <c r="B69" s="41"/>
      <c r="C69" s="40" t="s">
        <v>88</v>
      </c>
    </row>
    <row r="70" ht="36.0" customHeight="1">
      <c r="A70" s="40" t="s">
        <v>89</v>
      </c>
      <c r="B70" s="41"/>
      <c r="C70" s="40" t="s">
        <v>90</v>
      </c>
    </row>
    <row r="71" ht="36.0" customHeight="1">
      <c r="A71" s="40" t="s">
        <v>91</v>
      </c>
      <c r="B71" s="41"/>
      <c r="C71" s="40" t="s">
        <v>92</v>
      </c>
    </row>
    <row r="74">
      <c r="A74" s="42" t="s">
        <v>93</v>
      </c>
      <c r="B74" s="42" t="s">
        <v>74</v>
      </c>
      <c r="C74" s="42" t="s">
        <v>94</v>
      </c>
      <c r="D74" s="42"/>
      <c r="E74" s="42"/>
      <c r="F74" s="42"/>
      <c r="G74" s="42"/>
    </row>
    <row r="75" ht="36.0" customHeight="1">
      <c r="A75" s="43" t="s">
        <v>95</v>
      </c>
      <c r="B75" s="43">
        <f>'Sources and basis'!B90</f>
        <v>126000</v>
      </c>
      <c r="C75" s="43" t="s">
        <v>96</v>
      </c>
    </row>
    <row r="76" ht="36.0" customHeight="1">
      <c r="A76" s="43" t="s">
        <v>97</v>
      </c>
      <c r="B76" s="43">
        <f>'Sources and basis'!B91</f>
        <v>16000</v>
      </c>
      <c r="C76" s="43" t="s">
        <v>98</v>
      </c>
    </row>
    <row r="77" ht="36.0" customHeight="1">
      <c r="A77" s="44" t="s">
        <v>99</v>
      </c>
      <c r="B77" s="45" t="s">
        <v>100</v>
      </c>
      <c r="C77" s="44" t="s">
        <v>101</v>
      </c>
    </row>
    <row r="78" ht="36.0" customHeight="1">
      <c r="A78" s="44" t="s">
        <v>102</v>
      </c>
      <c r="B78" s="44" t="s">
        <v>103</v>
      </c>
      <c r="C78" s="44" t="s">
        <v>104</v>
      </c>
    </row>
    <row r="79" ht="36.0" customHeight="1">
      <c r="A79" s="44" t="s">
        <v>105</v>
      </c>
      <c r="B79" s="44" t="s">
        <v>106</v>
      </c>
      <c r="C79" s="44" t="s">
        <v>107</v>
      </c>
    </row>
    <row r="80">
      <c r="A80" s="43"/>
      <c r="B80" s="43"/>
      <c r="C80" s="43"/>
      <c r="D80" s="43"/>
      <c r="E80" s="43"/>
      <c r="F80" s="43"/>
      <c r="G80" s="43"/>
    </row>
    <row r="81">
      <c r="A81" s="43"/>
      <c r="B81" s="43"/>
      <c r="C81" s="43"/>
      <c r="D81" s="43"/>
      <c r="E81" s="43"/>
      <c r="F81" s="43"/>
      <c r="G81" s="43"/>
    </row>
    <row r="82">
      <c r="A82" s="46" t="s">
        <v>108</v>
      </c>
      <c r="B82" s="46" t="s">
        <v>109</v>
      </c>
      <c r="C82" s="42"/>
      <c r="D82" s="42"/>
      <c r="E82" s="42"/>
      <c r="F82" s="42"/>
      <c r="G82" s="42"/>
    </row>
    <row r="83">
      <c r="A83" s="44" t="s">
        <v>110</v>
      </c>
      <c r="B83" s="44" t="s">
        <v>106</v>
      </c>
      <c r="C83" s="44" t="s">
        <v>111</v>
      </c>
      <c r="D83" s="43"/>
      <c r="E83" s="43"/>
      <c r="F83" s="43"/>
      <c r="G83" s="43"/>
    </row>
    <row r="84">
      <c r="A84" s="44" t="s">
        <v>112</v>
      </c>
      <c r="B84" s="44" t="s">
        <v>113</v>
      </c>
      <c r="C84" s="44" t="s">
        <v>114</v>
      </c>
      <c r="D84" s="43"/>
      <c r="E84" s="43"/>
      <c r="F84" s="43"/>
      <c r="G84" s="43"/>
    </row>
    <row r="85">
      <c r="A85" s="44" t="s">
        <v>115</v>
      </c>
      <c r="B85" s="44" t="s">
        <v>106</v>
      </c>
      <c r="C85" s="44" t="s">
        <v>116</v>
      </c>
      <c r="D85" s="43"/>
      <c r="E85" s="43"/>
      <c r="F85" s="43"/>
      <c r="G85" s="43"/>
    </row>
    <row r="86">
      <c r="A86" s="44" t="s">
        <v>117</v>
      </c>
      <c r="B86" s="44" t="s">
        <v>118</v>
      </c>
      <c r="C86" s="44" t="s">
        <v>119</v>
      </c>
      <c r="D86" s="43"/>
      <c r="E86" s="43"/>
      <c r="F86" s="43"/>
      <c r="G86" s="43"/>
    </row>
    <row r="87">
      <c r="A87" s="44" t="s">
        <v>120</v>
      </c>
      <c r="B87" s="44" t="s">
        <v>106</v>
      </c>
      <c r="C87" s="44" t="s">
        <v>121</v>
      </c>
      <c r="D87" s="43"/>
      <c r="E87" s="43"/>
      <c r="F87" s="43"/>
      <c r="G87" s="43"/>
    </row>
    <row r="94">
      <c r="A94" s="47" t="s">
        <v>122</v>
      </c>
    </row>
    <row r="95">
      <c r="A95" s="47" t="s">
        <v>123</v>
      </c>
      <c r="B95" s="47" t="s">
        <v>45</v>
      </c>
      <c r="C95" s="47" t="s">
        <v>124</v>
      </c>
      <c r="D95" s="47"/>
      <c r="E95" s="47"/>
      <c r="F95" s="47"/>
      <c r="G95" s="47"/>
    </row>
    <row r="96">
      <c r="A96" s="48">
        <v>-0.02</v>
      </c>
      <c r="B96" s="49">
        <f t="shared" ref="B96:B100" si="5">$B$29+A96</f>
        <v>0.07383060741</v>
      </c>
      <c r="C96" s="50">
        <f>IF(B96&gt;$B$21,SUMPRODUCT($B$38:$G$38,1/(1+B96)^$B$35:$G$35)+SUMPRODUCT(Transition!$C$16:$G$16,1/(1+B96)^Transition!$C$19:$G$19)+$B$44/(B96-$B$21)/(1+B96)^Transition!$G$19,"")</f>
        <v>3308195.734</v>
      </c>
    </row>
    <row r="97">
      <c r="A97" s="48">
        <v>-0.01</v>
      </c>
      <c r="B97" s="49">
        <f t="shared" si="5"/>
        <v>0.08383060741</v>
      </c>
      <c r="C97" s="50">
        <f>IF(B97&gt;$B$21,SUMPRODUCT($B$38:$G$38,1/(1+B97)^$B$35:$G$35)+SUMPRODUCT(Transition!$C$16:$G$16,1/(1+B97)^Transition!$C$19:$G$19)+$B$44/(B97-$B$21)/(1+B97)^Transition!$G$19,"")</f>
        <v>2630591.656</v>
      </c>
    </row>
    <row r="98">
      <c r="A98" s="51">
        <v>0.0</v>
      </c>
      <c r="B98" s="52">
        <f t="shared" si="5"/>
        <v>0.09383060741</v>
      </c>
      <c r="C98" s="53">
        <f>IF(B98&gt;$B$21,SUMPRODUCT($B$38:$G$38,1/(1+B98)^$B$35:$G$35)+SUMPRODUCT(Transition!$C$16:$G$16,1/(1+B98)^Transition!$C$19:$G$19)+$B$44/(B98-$B$21)/(1+B98)^Transition!$G$19,"")</f>
        <v>2167268.265</v>
      </c>
    </row>
    <row r="99">
      <c r="A99" s="48">
        <v>0.01</v>
      </c>
      <c r="B99" s="49">
        <f t="shared" si="5"/>
        <v>0.1038306074</v>
      </c>
      <c r="C99" s="50">
        <f>IF(B99&gt;$B$21,SUMPRODUCT($B$38:$G$38,1/(1+B99)^$B$35:$G$35)+SUMPRODUCT(Transition!$C$16:$G$16,1/(1+B99)^Transition!$C$19:$G$19)+$B$44/(B99-$B$21)/(1+B99)^Transition!$G$19,"")</f>
        <v>1831079.847</v>
      </c>
    </row>
    <row r="100">
      <c r="A100" s="48">
        <v>0.02</v>
      </c>
      <c r="B100" s="49">
        <f t="shared" si="5"/>
        <v>0.1138306074</v>
      </c>
      <c r="C100" s="50">
        <f>IF(B100&gt;$B$21,SUMPRODUCT($B$38:$G$38,1/(1+B100)^$B$35:$G$35)+SUMPRODUCT(Transition!$C$16:$G$16,1/(1+B100)^Transition!$C$19:$G$19)+$B$44/(B100-$B$21)/(1+B100)^Transition!$G$19,"")</f>
        <v>1576465.306</v>
      </c>
    </row>
    <row r="103" ht="37.5" customHeight="1">
      <c r="A103" s="54" t="s">
        <v>125</v>
      </c>
    </row>
  </sheetData>
  <mergeCells count="33">
    <mergeCell ref="A1:G1"/>
    <mergeCell ref="A2:G2"/>
    <mergeCell ref="C7:G7"/>
    <mergeCell ref="C8:G8"/>
    <mergeCell ref="C9:G9"/>
    <mergeCell ref="C10:G10"/>
    <mergeCell ref="C11:G11"/>
    <mergeCell ref="C12:G12"/>
    <mergeCell ref="C13:G13"/>
    <mergeCell ref="C14:G14"/>
    <mergeCell ref="C15:G15"/>
    <mergeCell ref="C16:G16"/>
    <mergeCell ref="C17:G17"/>
    <mergeCell ref="C18:G18"/>
    <mergeCell ref="C19:G19"/>
    <mergeCell ref="C20:G20"/>
    <mergeCell ref="C21:G21"/>
    <mergeCell ref="C22:G22"/>
    <mergeCell ref="C23:G23"/>
    <mergeCell ref="B30:G30"/>
    <mergeCell ref="A63:G63"/>
    <mergeCell ref="C77:G77"/>
    <mergeCell ref="C78:G78"/>
    <mergeCell ref="C79:G79"/>
    <mergeCell ref="A94:G94"/>
    <mergeCell ref="A103:G103"/>
    <mergeCell ref="A64:G64"/>
    <mergeCell ref="A65:G65"/>
    <mergeCell ref="C69:G69"/>
    <mergeCell ref="C70:G70"/>
    <mergeCell ref="C71:G71"/>
    <mergeCell ref="C75:G75"/>
    <mergeCell ref="C76:G7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0"/>
    <col customWidth="1" min="2" max="7" width="14.88"/>
    <col customWidth="1" min="8" max="8" width="45.75"/>
  </cols>
  <sheetData>
    <row r="1" ht="19.5" customHeight="1">
      <c r="A1" s="1" t="s">
        <v>126</v>
      </c>
    </row>
    <row r="2" ht="34.5" customHeight="1">
      <c r="A2" s="55" t="s">
        <v>127</v>
      </c>
    </row>
    <row r="3" ht="19.5" customHeight="1">
      <c r="A3" s="3" t="s">
        <v>2</v>
      </c>
      <c r="B3" s="56" t="s">
        <v>128</v>
      </c>
      <c r="C3" s="3"/>
      <c r="D3" s="3"/>
      <c r="E3" s="3"/>
      <c r="F3" s="3"/>
      <c r="G3" s="3"/>
      <c r="H3" s="3"/>
    </row>
    <row r="4" ht="19.5" customHeight="1">
      <c r="A4" s="3" t="s">
        <v>3</v>
      </c>
      <c r="B4" s="27">
        <f>DATE(2026,10,25)</f>
        <v>46320</v>
      </c>
      <c r="C4" s="3"/>
      <c r="D4" s="3"/>
      <c r="E4" s="3"/>
      <c r="F4" s="3"/>
      <c r="G4" s="3"/>
      <c r="H4" s="3"/>
    </row>
    <row r="5" ht="19.5" customHeight="1">
      <c r="A5" s="3" t="s">
        <v>129</v>
      </c>
      <c r="B5" s="57">
        <v>0.21</v>
      </c>
      <c r="C5" s="3"/>
      <c r="D5" s="3"/>
      <c r="E5" s="3"/>
      <c r="F5" s="3"/>
      <c r="G5" s="3"/>
      <c r="H5" s="3"/>
    </row>
    <row r="6" ht="19.5" customHeight="1">
      <c r="A6" s="6" t="s">
        <v>130</v>
      </c>
      <c r="B6" s="6" t="s">
        <v>49</v>
      </c>
      <c r="C6" s="58" t="s">
        <v>50</v>
      </c>
      <c r="D6" s="58" t="s">
        <v>51</v>
      </c>
      <c r="E6" s="58" t="s">
        <v>52</v>
      </c>
      <c r="F6" s="58" t="s">
        <v>53</v>
      </c>
      <c r="G6" s="58" t="s">
        <v>54</v>
      </c>
      <c r="H6" s="6" t="s">
        <v>131</v>
      </c>
    </row>
    <row r="7" ht="48.0" customHeight="1">
      <c r="A7" s="25" t="s">
        <v>132</v>
      </c>
      <c r="B7" s="59">
        <f t="shared" ref="B7:G7" si="1">INDEX(B8:B10,MATCH($B$3,$A8:$A10,0))</f>
        <v>0.1790222324</v>
      </c>
      <c r="C7" s="59">
        <f t="shared" si="1"/>
        <v>0.15</v>
      </c>
      <c r="D7" s="59">
        <f t="shared" si="1"/>
        <v>0.13</v>
      </c>
      <c r="E7" s="59">
        <f t="shared" si="1"/>
        <v>0.11</v>
      </c>
      <c r="F7" s="59">
        <f t="shared" si="1"/>
        <v>0.09</v>
      </c>
      <c r="G7" s="59">
        <f t="shared" si="1"/>
        <v>0.08</v>
      </c>
      <c r="H7" s="25" t="s">
        <v>133</v>
      </c>
    </row>
    <row r="8" ht="19.5" customHeight="1">
      <c r="A8" s="3" t="s">
        <v>128</v>
      </c>
      <c r="B8" s="60">
        <f>'Historical base'!E8/'Historical base'!D8-1</f>
        <v>0.1790222324</v>
      </c>
      <c r="C8" s="57">
        <v>0.15</v>
      </c>
      <c r="D8" s="57">
        <v>0.13</v>
      </c>
      <c r="E8" s="57">
        <v>0.11</v>
      </c>
      <c r="F8" s="57">
        <v>0.09</v>
      </c>
      <c r="G8" s="57">
        <v>0.08</v>
      </c>
      <c r="H8" s="10"/>
    </row>
    <row r="9" ht="19.5" customHeight="1">
      <c r="A9" s="3" t="s">
        <v>134</v>
      </c>
      <c r="B9" s="57">
        <v>0.22</v>
      </c>
      <c r="C9" s="57">
        <v>0.2</v>
      </c>
      <c r="D9" s="57">
        <v>0.18</v>
      </c>
      <c r="E9" s="57">
        <v>0.16</v>
      </c>
      <c r="F9" s="57">
        <v>0.14</v>
      </c>
      <c r="G9" s="57">
        <v>0.12</v>
      </c>
      <c r="H9" s="10"/>
    </row>
    <row r="10" ht="19.5" customHeight="1">
      <c r="A10" s="3" t="s">
        <v>135</v>
      </c>
      <c r="B10" s="57">
        <v>0.1</v>
      </c>
      <c r="C10" s="57">
        <v>0.1</v>
      </c>
      <c r="D10" s="57">
        <v>0.08</v>
      </c>
      <c r="E10" s="57">
        <v>0.06</v>
      </c>
      <c r="F10" s="57">
        <v>0.04</v>
      </c>
      <c r="G10" s="57">
        <v>0.03</v>
      </c>
      <c r="H10" s="10"/>
    </row>
    <row r="11" ht="19.5" customHeight="1">
      <c r="A11" s="3"/>
      <c r="B11" s="3"/>
      <c r="C11" s="3"/>
      <c r="D11" s="3"/>
      <c r="E11" s="3"/>
      <c r="F11" s="3"/>
      <c r="G11" s="3"/>
      <c r="H11" s="10"/>
    </row>
    <row r="12" ht="48.0" customHeight="1">
      <c r="A12" s="25" t="s">
        <v>136</v>
      </c>
      <c r="B12" s="59">
        <f t="shared" ref="B12:G12" si="2">INDEX(B13:B15,MATCH($B$3,$A13:$A15,0))</f>
        <v>0.1183036906</v>
      </c>
      <c r="C12" s="59">
        <f t="shared" si="2"/>
        <v>0.12</v>
      </c>
      <c r="D12" s="59">
        <f t="shared" si="2"/>
        <v>0.11</v>
      </c>
      <c r="E12" s="59">
        <f t="shared" si="2"/>
        <v>0.1</v>
      </c>
      <c r="F12" s="59">
        <f t="shared" si="2"/>
        <v>0.09</v>
      </c>
      <c r="G12" s="59">
        <f t="shared" si="2"/>
        <v>0.08</v>
      </c>
      <c r="H12" s="25" t="s">
        <v>137</v>
      </c>
    </row>
    <row r="13" ht="19.5" customHeight="1">
      <c r="A13" s="3" t="s">
        <v>128</v>
      </c>
      <c r="B13" s="60">
        <f>'Historical base'!E9/'Historical base'!D9-1</f>
        <v>0.1183036906</v>
      </c>
      <c r="C13" s="57">
        <v>0.12</v>
      </c>
      <c r="D13" s="57">
        <v>0.11</v>
      </c>
      <c r="E13" s="57">
        <v>0.1</v>
      </c>
      <c r="F13" s="57">
        <v>0.09</v>
      </c>
      <c r="G13" s="57">
        <v>0.08</v>
      </c>
      <c r="H13" s="10"/>
    </row>
    <row r="14" ht="19.5" customHeight="1">
      <c r="A14" s="3" t="s">
        <v>134</v>
      </c>
      <c r="B14" s="57">
        <v>0.16</v>
      </c>
      <c r="C14" s="57">
        <v>0.16</v>
      </c>
      <c r="D14" s="57">
        <v>0.15</v>
      </c>
      <c r="E14" s="57">
        <v>0.14</v>
      </c>
      <c r="F14" s="57">
        <v>0.13</v>
      </c>
      <c r="G14" s="57">
        <v>0.12</v>
      </c>
      <c r="H14" s="10"/>
    </row>
    <row r="15" ht="19.5" customHeight="1">
      <c r="A15" s="3" t="s">
        <v>135</v>
      </c>
      <c r="B15" s="57">
        <v>0.07</v>
      </c>
      <c r="C15" s="57">
        <v>0.07</v>
      </c>
      <c r="D15" s="57">
        <v>0.06</v>
      </c>
      <c r="E15" s="57">
        <v>0.05</v>
      </c>
      <c r="F15" s="57">
        <v>0.04</v>
      </c>
      <c r="G15" s="57">
        <v>0.03</v>
      </c>
      <c r="H15" s="10"/>
    </row>
    <row r="16" ht="19.5" customHeight="1">
      <c r="A16" s="3"/>
      <c r="B16" s="3"/>
      <c r="C16" s="3"/>
      <c r="D16" s="3"/>
      <c r="E16" s="3"/>
      <c r="F16" s="3"/>
      <c r="G16" s="3"/>
      <c r="H16" s="10"/>
    </row>
    <row r="17" ht="48.0" customHeight="1">
      <c r="A17" s="25" t="s">
        <v>138</v>
      </c>
      <c r="B17" s="59">
        <f t="shared" ref="B17:G17" si="3">INDEX(B18:B20,MATCH($B$3,$A18:$A20,0))</f>
        <v>-0.02299794661</v>
      </c>
      <c r="C17" s="59">
        <f t="shared" si="3"/>
        <v>-0.03</v>
      </c>
      <c r="D17" s="59">
        <f t="shared" si="3"/>
        <v>-0.03</v>
      </c>
      <c r="E17" s="59">
        <f t="shared" si="3"/>
        <v>-0.02</v>
      </c>
      <c r="F17" s="59">
        <f t="shared" si="3"/>
        <v>-0.02</v>
      </c>
      <c r="G17" s="59">
        <f t="shared" si="3"/>
        <v>-0.02</v>
      </c>
      <c r="H17" s="25" t="s">
        <v>139</v>
      </c>
    </row>
    <row r="18" ht="19.5" customHeight="1">
      <c r="A18" s="3" t="s">
        <v>128</v>
      </c>
      <c r="B18" s="60">
        <f>'Historical base'!E10/'Historical base'!D10-1</f>
        <v>-0.02299794661</v>
      </c>
      <c r="C18" s="57">
        <v>-0.03</v>
      </c>
      <c r="D18" s="57">
        <v>-0.03</v>
      </c>
      <c r="E18" s="57">
        <v>-0.02</v>
      </c>
      <c r="F18" s="57">
        <v>-0.02</v>
      </c>
      <c r="G18" s="57">
        <v>-0.02</v>
      </c>
      <c r="H18" s="10"/>
    </row>
    <row r="19" ht="19.5" customHeight="1">
      <c r="A19" s="3" t="s">
        <v>134</v>
      </c>
      <c r="B19" s="57">
        <v>0.0</v>
      </c>
      <c r="C19" s="57">
        <v>0.0</v>
      </c>
      <c r="D19" s="57">
        <v>0.01</v>
      </c>
      <c r="E19" s="57">
        <v>0.02</v>
      </c>
      <c r="F19" s="57">
        <v>0.02</v>
      </c>
      <c r="G19" s="57">
        <v>0.02</v>
      </c>
      <c r="H19" s="10"/>
    </row>
    <row r="20" ht="19.5" customHeight="1">
      <c r="A20" s="3" t="s">
        <v>135</v>
      </c>
      <c r="B20" s="57">
        <v>-0.08</v>
      </c>
      <c r="C20" s="57">
        <v>-0.08</v>
      </c>
      <c r="D20" s="57">
        <v>-0.07</v>
      </c>
      <c r="E20" s="57">
        <v>-0.06</v>
      </c>
      <c r="F20" s="57">
        <v>-0.05</v>
      </c>
      <c r="G20" s="57">
        <v>-0.05</v>
      </c>
      <c r="H20" s="10"/>
    </row>
    <row r="21" ht="19.5" customHeight="1">
      <c r="A21" s="3"/>
      <c r="B21" s="3"/>
      <c r="C21" s="3"/>
      <c r="D21" s="3"/>
      <c r="E21" s="3"/>
      <c r="F21" s="3"/>
      <c r="G21" s="3"/>
      <c r="H21" s="10"/>
    </row>
    <row r="22" ht="48.0" customHeight="1">
      <c r="A22" s="25" t="s">
        <v>140</v>
      </c>
      <c r="B22" s="59">
        <f t="shared" ref="B22:G22" si="4">INDEX(B23:B25,MATCH($B$3,$A23:$A25,0))</f>
        <v>0.1720415161</v>
      </c>
      <c r="C22" s="59">
        <f t="shared" si="4"/>
        <v>0.15</v>
      </c>
      <c r="D22" s="59">
        <f t="shared" si="4"/>
        <v>0.13</v>
      </c>
      <c r="E22" s="59">
        <f t="shared" si="4"/>
        <v>0.12</v>
      </c>
      <c r="F22" s="59">
        <f t="shared" si="4"/>
        <v>0.1</v>
      </c>
      <c r="G22" s="59">
        <f t="shared" si="4"/>
        <v>0.09</v>
      </c>
      <c r="H22" s="25" t="s">
        <v>141</v>
      </c>
    </row>
    <row r="23" ht="19.5" customHeight="1">
      <c r="A23" s="3" t="s">
        <v>128</v>
      </c>
      <c r="B23" s="60">
        <f>'Historical base'!E11/'Historical base'!D11-1</f>
        <v>0.1720415161</v>
      </c>
      <c r="C23" s="57">
        <v>0.15</v>
      </c>
      <c r="D23" s="57">
        <v>0.13</v>
      </c>
      <c r="E23" s="57">
        <v>0.12</v>
      </c>
      <c r="F23" s="57">
        <v>0.1</v>
      </c>
      <c r="G23" s="57">
        <v>0.09</v>
      </c>
      <c r="H23" s="10"/>
    </row>
    <row r="24" ht="19.5" customHeight="1">
      <c r="A24" s="3" t="s">
        <v>134</v>
      </c>
      <c r="B24" s="57">
        <v>0.2</v>
      </c>
      <c r="C24" s="57">
        <v>0.2</v>
      </c>
      <c r="D24" s="57">
        <v>0.18</v>
      </c>
      <c r="E24" s="57">
        <v>0.16</v>
      </c>
      <c r="F24" s="57">
        <v>0.14</v>
      </c>
      <c r="G24" s="57">
        <v>0.13</v>
      </c>
      <c r="H24" s="10"/>
    </row>
    <row r="25" ht="19.5" customHeight="1">
      <c r="A25" s="3" t="s">
        <v>135</v>
      </c>
      <c r="B25" s="57">
        <v>0.08</v>
      </c>
      <c r="C25" s="57">
        <v>0.08</v>
      </c>
      <c r="D25" s="57">
        <v>0.07</v>
      </c>
      <c r="E25" s="57">
        <v>0.06</v>
      </c>
      <c r="F25" s="57">
        <v>0.05</v>
      </c>
      <c r="G25" s="57">
        <v>0.04</v>
      </c>
      <c r="H25" s="10"/>
    </row>
    <row r="26" ht="19.5" customHeight="1">
      <c r="A26" s="3"/>
      <c r="B26" s="3"/>
      <c r="C26" s="3"/>
      <c r="D26" s="3"/>
      <c r="E26" s="3"/>
      <c r="F26" s="3"/>
      <c r="G26" s="3"/>
      <c r="H26" s="10"/>
    </row>
    <row r="27" ht="48.0" customHeight="1">
      <c r="A27" s="61" t="s">
        <v>142</v>
      </c>
      <c r="B27" s="59">
        <f t="shared" ref="B27:G27" si="5">INDEX(B28:B30,MATCH($B$3,$A28:$A30,0))</f>
        <v>0.7306444135</v>
      </c>
      <c r="C27" s="59">
        <f t="shared" si="5"/>
        <v>0.35</v>
      </c>
      <c r="D27" s="59">
        <f t="shared" si="5"/>
        <v>0.25</v>
      </c>
      <c r="E27" s="59">
        <f t="shared" si="5"/>
        <v>0.2</v>
      </c>
      <c r="F27" s="59">
        <f t="shared" si="5"/>
        <v>0.16</v>
      </c>
      <c r="G27" s="59">
        <f t="shared" si="5"/>
        <v>0.12</v>
      </c>
      <c r="H27" s="61" t="s">
        <v>143</v>
      </c>
    </row>
    <row r="28" ht="19.5" customHeight="1">
      <c r="A28" s="3" t="s">
        <v>128</v>
      </c>
      <c r="B28" s="60">
        <f>'Historical base'!E13/'Historical base'!D13-1</f>
        <v>0.7306444135</v>
      </c>
      <c r="C28" s="62">
        <v>0.35</v>
      </c>
      <c r="D28" s="62">
        <v>0.25</v>
      </c>
      <c r="E28" s="62">
        <v>0.2</v>
      </c>
      <c r="F28" s="62">
        <v>0.16</v>
      </c>
      <c r="G28" s="62">
        <v>0.12</v>
      </c>
      <c r="H28" s="10"/>
    </row>
    <row r="29" ht="19.5" customHeight="1">
      <c r="A29" s="3" t="s">
        <v>134</v>
      </c>
      <c r="B29" s="57">
        <v>0.85</v>
      </c>
      <c r="C29" s="62">
        <v>0.45</v>
      </c>
      <c r="D29" s="62">
        <v>0.35</v>
      </c>
      <c r="E29" s="62">
        <v>0.28</v>
      </c>
      <c r="F29" s="62">
        <v>0.23</v>
      </c>
      <c r="G29" s="62">
        <v>0.18</v>
      </c>
      <c r="H29" s="10"/>
    </row>
    <row r="30" ht="19.5" customHeight="1">
      <c r="A30" s="3" t="s">
        <v>135</v>
      </c>
      <c r="B30" s="57">
        <v>0.45</v>
      </c>
      <c r="C30" s="62">
        <v>0.2</v>
      </c>
      <c r="D30" s="62">
        <v>0.15</v>
      </c>
      <c r="E30" s="62">
        <v>0.1</v>
      </c>
      <c r="F30" s="62">
        <v>0.08</v>
      </c>
      <c r="G30" s="62">
        <v>0.06</v>
      </c>
      <c r="H30" s="10"/>
    </row>
    <row r="31" ht="19.5" customHeight="1">
      <c r="A31" s="3"/>
      <c r="B31" s="3"/>
      <c r="C31" s="3"/>
      <c r="D31" s="3"/>
      <c r="E31" s="3"/>
      <c r="F31" s="3"/>
      <c r="G31" s="3"/>
      <c r="H31" s="10"/>
    </row>
    <row r="32" ht="48.0" customHeight="1">
      <c r="A32" s="25" t="s">
        <v>144</v>
      </c>
      <c r="B32" s="59">
        <f t="shared" ref="B32:G32" si="6">INDEX(B33:B35,MATCH($B$3,$A33:$A35,0))</f>
        <v>0.1</v>
      </c>
      <c r="C32" s="59">
        <f t="shared" si="6"/>
        <v>0.1</v>
      </c>
      <c r="D32" s="59">
        <f t="shared" si="6"/>
        <v>0.1</v>
      </c>
      <c r="E32" s="59">
        <f t="shared" si="6"/>
        <v>0.1</v>
      </c>
      <c r="F32" s="59">
        <f t="shared" si="6"/>
        <v>0.1</v>
      </c>
      <c r="G32" s="59">
        <f t="shared" si="6"/>
        <v>0.1</v>
      </c>
      <c r="H32" s="25" t="s">
        <v>145</v>
      </c>
    </row>
    <row r="33" ht="19.5" customHeight="1">
      <c r="A33" s="3" t="s">
        <v>128</v>
      </c>
      <c r="B33" s="57">
        <v>0.1</v>
      </c>
      <c r="C33" s="57">
        <v>0.1</v>
      </c>
      <c r="D33" s="57">
        <v>0.1</v>
      </c>
      <c r="E33" s="57">
        <v>0.1</v>
      </c>
      <c r="F33" s="57">
        <v>0.1</v>
      </c>
      <c r="G33" s="57">
        <v>0.1</v>
      </c>
      <c r="H33" s="10"/>
    </row>
    <row r="34" ht="19.5" customHeight="1">
      <c r="A34" s="3" t="s">
        <v>134</v>
      </c>
      <c r="B34" s="57">
        <v>0.25</v>
      </c>
      <c r="C34" s="57">
        <v>0.25</v>
      </c>
      <c r="D34" s="57">
        <v>0.25</v>
      </c>
      <c r="E34" s="57">
        <v>0.2</v>
      </c>
      <c r="F34" s="57">
        <v>0.2</v>
      </c>
      <c r="G34" s="57">
        <v>0.2</v>
      </c>
      <c r="H34" s="10"/>
    </row>
    <row r="35" ht="19.5" customHeight="1">
      <c r="A35" s="3" t="s">
        <v>135</v>
      </c>
      <c r="B35" s="57">
        <v>0.0</v>
      </c>
      <c r="C35" s="57">
        <v>0.0</v>
      </c>
      <c r="D35" s="57">
        <v>0.0</v>
      </c>
      <c r="E35" s="57">
        <v>0.0</v>
      </c>
      <c r="F35" s="57">
        <v>0.0</v>
      </c>
      <c r="G35" s="57">
        <v>0.0</v>
      </c>
      <c r="H35" s="10"/>
    </row>
    <row r="36" ht="19.5" customHeight="1">
      <c r="A36" s="3"/>
      <c r="B36" s="3"/>
      <c r="C36" s="3"/>
      <c r="D36" s="3"/>
      <c r="E36" s="3"/>
      <c r="F36" s="3"/>
      <c r="G36" s="3"/>
      <c r="H36" s="10"/>
    </row>
    <row r="37" ht="48.0" customHeight="1">
      <c r="A37" s="25" t="s">
        <v>146</v>
      </c>
      <c r="B37" s="59">
        <f t="shared" ref="B37:G37" si="7">INDEX(B38:B40,MATCH($B$3,$A38:$A40,0))</f>
        <v>0.4350869001</v>
      </c>
      <c r="C37" s="59">
        <f t="shared" si="7"/>
        <v>0.43</v>
      </c>
      <c r="D37" s="59">
        <f t="shared" si="7"/>
        <v>0.43</v>
      </c>
      <c r="E37" s="59">
        <f t="shared" si="7"/>
        <v>0.425</v>
      </c>
      <c r="F37" s="59">
        <f t="shared" si="7"/>
        <v>0.42</v>
      </c>
      <c r="G37" s="59">
        <f t="shared" si="7"/>
        <v>0.42</v>
      </c>
      <c r="H37" s="61" t="s">
        <v>147</v>
      </c>
    </row>
    <row r="38" ht="19.5" customHeight="1">
      <c r="A38" s="3" t="s">
        <v>128</v>
      </c>
      <c r="B38" s="60">
        <f>'Historical base'!E26</f>
        <v>0.4350869001</v>
      </c>
      <c r="C38" s="57">
        <v>0.43</v>
      </c>
      <c r="D38" s="57">
        <v>0.43</v>
      </c>
      <c r="E38" s="57">
        <v>0.425</v>
      </c>
      <c r="F38" s="57">
        <v>0.42</v>
      </c>
      <c r="G38" s="57">
        <v>0.42</v>
      </c>
      <c r="H38" s="10"/>
    </row>
    <row r="39" ht="19.5" customHeight="1">
      <c r="A39" s="3" t="s">
        <v>134</v>
      </c>
      <c r="B39" s="57">
        <f t="shared" ref="B39:G39" si="8">B38</f>
        <v>0.4350869001</v>
      </c>
      <c r="C39" s="57">
        <f t="shared" si="8"/>
        <v>0.43</v>
      </c>
      <c r="D39" s="57">
        <f t="shared" si="8"/>
        <v>0.43</v>
      </c>
      <c r="E39" s="57">
        <f t="shared" si="8"/>
        <v>0.425</v>
      </c>
      <c r="F39" s="57">
        <f t="shared" si="8"/>
        <v>0.42</v>
      </c>
      <c r="G39" s="57">
        <f t="shared" si="8"/>
        <v>0.42</v>
      </c>
      <c r="H39" s="10"/>
    </row>
    <row r="40" ht="19.5" customHeight="1">
      <c r="A40" s="3" t="s">
        <v>135</v>
      </c>
      <c r="B40" s="57">
        <f t="shared" ref="B40:G40" si="9">B38</f>
        <v>0.4350869001</v>
      </c>
      <c r="C40" s="57">
        <f t="shared" si="9"/>
        <v>0.43</v>
      </c>
      <c r="D40" s="57">
        <f t="shared" si="9"/>
        <v>0.43</v>
      </c>
      <c r="E40" s="57">
        <f t="shared" si="9"/>
        <v>0.425</v>
      </c>
      <c r="F40" s="57">
        <f t="shared" si="9"/>
        <v>0.42</v>
      </c>
      <c r="G40" s="57">
        <f t="shared" si="9"/>
        <v>0.42</v>
      </c>
      <c r="H40" s="10"/>
    </row>
    <row r="41" ht="19.5" customHeight="1">
      <c r="A41" s="3"/>
      <c r="B41" s="3"/>
      <c r="C41" s="3"/>
      <c r="D41" s="3"/>
      <c r="E41" s="3"/>
      <c r="F41" s="3"/>
      <c r="G41" s="3"/>
      <c r="H41" s="10"/>
    </row>
    <row r="42" ht="48.0" customHeight="1">
      <c r="A42" s="25" t="s">
        <v>148</v>
      </c>
      <c r="B42" s="59">
        <f t="shared" ref="B42:G42" si="10">INDEX(B43:B45,MATCH($B$3,$A43:$A45,0))</f>
        <v>0.3440485758</v>
      </c>
      <c r="C42" s="59">
        <f t="shared" si="10"/>
        <v>0.35</v>
      </c>
      <c r="D42" s="59">
        <f t="shared" si="10"/>
        <v>0.36</v>
      </c>
      <c r="E42" s="59">
        <f t="shared" si="10"/>
        <v>0.37</v>
      </c>
      <c r="F42" s="59">
        <f t="shared" si="10"/>
        <v>0.38</v>
      </c>
      <c r="G42" s="59">
        <f t="shared" si="10"/>
        <v>0.38</v>
      </c>
      <c r="H42" s="25" t="s">
        <v>149</v>
      </c>
    </row>
    <row r="43" ht="19.5" customHeight="1">
      <c r="A43" s="3" t="s">
        <v>128</v>
      </c>
      <c r="B43" s="60">
        <f>'Historical base'!E27</f>
        <v>0.3440485758</v>
      </c>
      <c r="C43" s="57">
        <v>0.35</v>
      </c>
      <c r="D43" s="57">
        <v>0.36</v>
      </c>
      <c r="E43" s="57">
        <v>0.37</v>
      </c>
      <c r="F43" s="57">
        <v>0.38</v>
      </c>
      <c r="G43" s="57">
        <v>0.38</v>
      </c>
      <c r="H43" s="10"/>
    </row>
    <row r="44" ht="19.5" customHeight="1">
      <c r="A44" s="3" t="s">
        <v>134</v>
      </c>
      <c r="B44" s="57">
        <v>0.36</v>
      </c>
      <c r="C44" s="57">
        <v>0.38</v>
      </c>
      <c r="D44" s="57">
        <v>0.4</v>
      </c>
      <c r="E44" s="57">
        <v>0.41</v>
      </c>
      <c r="F44" s="57">
        <v>0.42</v>
      </c>
      <c r="G44" s="57">
        <v>0.42</v>
      </c>
      <c r="H44" s="10"/>
    </row>
    <row r="45" ht="19.5" customHeight="1">
      <c r="A45" s="3" t="s">
        <v>135</v>
      </c>
      <c r="B45" s="57">
        <v>0.3</v>
      </c>
      <c r="C45" s="57">
        <v>0.29</v>
      </c>
      <c r="D45" s="57">
        <v>0.28</v>
      </c>
      <c r="E45" s="57">
        <v>0.28</v>
      </c>
      <c r="F45" s="57">
        <v>0.28</v>
      </c>
      <c r="G45" s="57">
        <v>0.28</v>
      </c>
      <c r="H45" s="10"/>
    </row>
    <row r="46" ht="19.5" customHeight="1">
      <c r="A46" s="3"/>
      <c r="B46" s="3"/>
      <c r="C46" s="3"/>
      <c r="D46" s="3"/>
      <c r="E46" s="3"/>
      <c r="F46" s="3"/>
      <c r="G46" s="3"/>
      <c r="H46" s="10"/>
    </row>
    <row r="47" ht="48.0" customHeight="1">
      <c r="A47" s="25" t="s">
        <v>150</v>
      </c>
      <c r="B47" s="59">
        <f t="shared" ref="B47:G47" si="11">INDEX(B48:B50,MATCH($B$3,$A48:$A50,0))</f>
        <v>0.15</v>
      </c>
      <c r="C47" s="59">
        <f t="shared" si="11"/>
        <v>0.15</v>
      </c>
      <c r="D47" s="59">
        <f t="shared" si="11"/>
        <v>0.12</v>
      </c>
      <c r="E47" s="59">
        <f t="shared" si="11"/>
        <v>0.1</v>
      </c>
      <c r="F47" s="59">
        <f t="shared" si="11"/>
        <v>0.08</v>
      </c>
      <c r="G47" s="59">
        <f t="shared" si="11"/>
        <v>0.05</v>
      </c>
      <c r="H47" s="25" t="s">
        <v>151</v>
      </c>
    </row>
    <row r="48" ht="19.5" customHeight="1">
      <c r="A48" s="3" t="s">
        <v>128</v>
      </c>
      <c r="B48" s="57">
        <v>0.15</v>
      </c>
      <c r="C48" s="57">
        <v>0.15</v>
      </c>
      <c r="D48" s="57">
        <v>0.12</v>
      </c>
      <c r="E48" s="57">
        <v>0.1</v>
      </c>
      <c r="F48" s="57">
        <v>0.08</v>
      </c>
      <c r="G48" s="57">
        <v>0.05</v>
      </c>
      <c r="H48" s="10"/>
    </row>
    <row r="49" ht="19.5" customHeight="1">
      <c r="A49" s="3" t="s">
        <v>134</v>
      </c>
      <c r="B49" s="57">
        <v>0.1</v>
      </c>
      <c r="C49" s="57">
        <v>0.1</v>
      </c>
      <c r="D49" s="57">
        <v>0.08</v>
      </c>
      <c r="E49" s="57">
        <v>0.05</v>
      </c>
      <c r="F49" s="57">
        <v>0.0</v>
      </c>
      <c r="G49" s="57">
        <v>0.0</v>
      </c>
      <c r="H49" s="10"/>
    </row>
    <row r="50" ht="19.5" customHeight="1">
      <c r="A50" s="3" t="s">
        <v>135</v>
      </c>
      <c r="B50" s="57">
        <v>0.25</v>
      </c>
      <c r="C50" s="57">
        <v>0.25</v>
      </c>
      <c r="D50" s="57">
        <v>0.2</v>
      </c>
      <c r="E50" s="57">
        <v>0.15</v>
      </c>
      <c r="F50" s="57">
        <v>0.1</v>
      </c>
      <c r="G50" s="57">
        <v>0.1</v>
      </c>
      <c r="H50" s="10"/>
    </row>
    <row r="51" ht="19.5" customHeight="1">
      <c r="A51" s="3"/>
      <c r="B51" s="3"/>
      <c r="C51" s="3"/>
      <c r="D51" s="3"/>
      <c r="E51" s="3"/>
      <c r="F51" s="3"/>
      <c r="G51" s="3"/>
      <c r="H51" s="10"/>
    </row>
    <row r="52" ht="48.0" customHeight="1">
      <c r="A52" s="61" t="s">
        <v>152</v>
      </c>
      <c r="B52" s="63">
        <f t="shared" ref="B52:G52" si="12">INDEX(B53:B55,MATCH($B$3,$A53:$A55,0))</f>
        <v>0.8</v>
      </c>
      <c r="C52" s="63">
        <f t="shared" si="12"/>
        <v>0.8</v>
      </c>
      <c r="D52" s="63">
        <f t="shared" si="12"/>
        <v>0.8</v>
      </c>
      <c r="E52" s="63">
        <f t="shared" si="12"/>
        <v>0.8</v>
      </c>
      <c r="F52" s="63">
        <f t="shared" si="12"/>
        <v>0.8</v>
      </c>
      <c r="G52" s="63">
        <f t="shared" si="12"/>
        <v>0.8</v>
      </c>
      <c r="H52" s="61" t="s">
        <v>153</v>
      </c>
    </row>
    <row r="53" ht="19.5" customHeight="1">
      <c r="A53" s="3" t="s">
        <v>128</v>
      </c>
      <c r="B53" s="64">
        <v>0.8</v>
      </c>
      <c r="C53" s="64">
        <v>0.8</v>
      </c>
      <c r="D53" s="64">
        <v>0.8</v>
      </c>
      <c r="E53" s="64">
        <v>0.8</v>
      </c>
      <c r="F53" s="64">
        <v>0.8</v>
      </c>
      <c r="G53" s="64">
        <v>0.8</v>
      </c>
      <c r="H53" s="10"/>
    </row>
    <row r="54" ht="19.5" customHeight="1">
      <c r="A54" s="3" t="s">
        <v>134</v>
      </c>
      <c r="B54" s="64">
        <v>0.65</v>
      </c>
      <c r="C54" s="64">
        <v>0.65</v>
      </c>
      <c r="D54" s="64">
        <v>0.65</v>
      </c>
      <c r="E54" s="64">
        <v>0.65</v>
      </c>
      <c r="F54" s="64">
        <v>0.65</v>
      </c>
      <c r="G54" s="64">
        <v>0.65</v>
      </c>
      <c r="H54" s="10"/>
    </row>
    <row r="55" ht="19.5" customHeight="1">
      <c r="A55" s="3" t="s">
        <v>135</v>
      </c>
      <c r="B55" s="64">
        <v>1.1</v>
      </c>
      <c r="C55" s="64">
        <v>1.1</v>
      </c>
      <c r="D55" s="64">
        <v>1.1</v>
      </c>
      <c r="E55" s="64">
        <v>1.1</v>
      </c>
      <c r="F55" s="64">
        <v>1.1</v>
      </c>
      <c r="G55" s="64">
        <v>1.1</v>
      </c>
      <c r="H55" s="10"/>
    </row>
    <row r="56" ht="19.5" customHeight="1">
      <c r="A56" s="3"/>
      <c r="B56" s="3"/>
      <c r="C56" s="3"/>
      <c r="D56" s="3"/>
      <c r="E56" s="3"/>
      <c r="F56" s="3"/>
      <c r="G56" s="3"/>
      <c r="H56" s="10"/>
    </row>
    <row r="57" ht="48.0" customHeight="1">
      <c r="A57" s="25" t="s">
        <v>154</v>
      </c>
      <c r="B57" s="59" t="str">
        <f>""</f>
        <v/>
      </c>
      <c r="C57" s="59">
        <f t="shared" ref="C57:G57" si="13">INDEX(C58:C60,MATCH($B$3,$A58:$A60,0))</f>
        <v>0.35</v>
      </c>
      <c r="D57" s="59">
        <f t="shared" si="13"/>
        <v>0.3</v>
      </c>
      <c r="E57" s="59">
        <f t="shared" si="13"/>
        <v>0.27</v>
      </c>
      <c r="F57" s="59">
        <f t="shared" si="13"/>
        <v>0.24</v>
      </c>
      <c r="G57" s="59">
        <f t="shared" si="13"/>
        <v>0.22</v>
      </c>
      <c r="H57" s="25" t="s">
        <v>155</v>
      </c>
    </row>
    <row r="58" ht="19.5" customHeight="1">
      <c r="A58" s="3" t="s">
        <v>128</v>
      </c>
      <c r="B58" s="29" t="s">
        <v>156</v>
      </c>
      <c r="C58" s="62">
        <v>0.35</v>
      </c>
      <c r="D58" s="62">
        <v>0.3</v>
      </c>
      <c r="E58" s="62">
        <v>0.27</v>
      </c>
      <c r="F58" s="62">
        <v>0.24</v>
      </c>
      <c r="G58" s="62">
        <v>0.22</v>
      </c>
      <c r="H58" s="10"/>
    </row>
    <row r="59" ht="19.5" customHeight="1">
      <c r="A59" s="3" t="s">
        <v>134</v>
      </c>
      <c r="B59" s="29" t="s">
        <v>156</v>
      </c>
      <c r="C59" s="57">
        <v>0.36</v>
      </c>
      <c r="D59" s="57">
        <v>0.32</v>
      </c>
      <c r="E59" s="57">
        <v>0.28</v>
      </c>
      <c r="F59" s="57">
        <v>0.25</v>
      </c>
      <c r="G59" s="57">
        <v>0.23</v>
      </c>
      <c r="H59" s="10"/>
    </row>
    <row r="60" ht="19.5" customHeight="1">
      <c r="A60" s="3" t="s">
        <v>135</v>
      </c>
      <c r="B60" s="29" t="s">
        <v>156</v>
      </c>
      <c r="C60" s="57">
        <v>0.38</v>
      </c>
      <c r="D60" s="57">
        <v>0.35</v>
      </c>
      <c r="E60" s="57">
        <v>0.32</v>
      </c>
      <c r="F60" s="57">
        <v>0.29</v>
      </c>
      <c r="G60" s="57">
        <v>0.27</v>
      </c>
      <c r="H60" s="10"/>
    </row>
    <row r="61" ht="19.5" customHeight="1">
      <c r="A61" s="3"/>
      <c r="B61" s="3"/>
      <c r="C61" s="3"/>
      <c r="D61" s="3"/>
      <c r="E61" s="3"/>
      <c r="F61" s="3"/>
      <c r="G61" s="3"/>
      <c r="H61" s="10"/>
    </row>
    <row r="62" ht="48.0" customHeight="1">
      <c r="A62" s="25" t="s">
        <v>157</v>
      </c>
      <c r="B62" s="59">
        <f t="shared" ref="B62:G62" si="14">INDEX(B63:B65,MATCH($B$3,$A63:$A65,0))</f>
        <v>0.6</v>
      </c>
      <c r="C62" s="59">
        <f t="shared" si="14"/>
        <v>0.6</v>
      </c>
      <c r="D62" s="59">
        <f t="shared" si="14"/>
        <v>0.6</v>
      </c>
      <c r="E62" s="59">
        <f t="shared" si="14"/>
        <v>0.6</v>
      </c>
      <c r="F62" s="59">
        <f t="shared" si="14"/>
        <v>0.6</v>
      </c>
      <c r="G62" s="59">
        <f t="shared" si="14"/>
        <v>0.6</v>
      </c>
      <c r="H62" s="65" t="s">
        <v>158</v>
      </c>
    </row>
    <row r="63" ht="19.5" customHeight="1">
      <c r="A63" s="3" t="s">
        <v>128</v>
      </c>
      <c r="B63" s="62">
        <v>0.6</v>
      </c>
      <c r="C63" s="62">
        <v>0.6</v>
      </c>
      <c r="D63" s="62">
        <v>0.6</v>
      </c>
      <c r="E63" s="62">
        <v>0.6</v>
      </c>
      <c r="F63" s="62">
        <v>0.6</v>
      </c>
      <c r="G63" s="62">
        <v>0.6</v>
      </c>
      <c r="H63" s="10"/>
    </row>
    <row r="64" ht="19.5" customHeight="1">
      <c r="A64" s="3" t="s">
        <v>134</v>
      </c>
      <c r="B64" s="57">
        <v>0.8</v>
      </c>
      <c r="C64" s="57">
        <v>0.8</v>
      </c>
      <c r="D64" s="57">
        <v>0.8</v>
      </c>
      <c r="E64" s="57">
        <v>0.8</v>
      </c>
      <c r="F64" s="57">
        <v>0.8</v>
      </c>
      <c r="G64" s="57">
        <v>0.8</v>
      </c>
      <c r="H64" s="10"/>
    </row>
    <row r="65" ht="19.5" customHeight="1">
      <c r="A65" s="3" t="s">
        <v>135</v>
      </c>
      <c r="B65" s="57">
        <v>0.4</v>
      </c>
      <c r="C65" s="57">
        <v>0.4</v>
      </c>
      <c r="D65" s="57">
        <v>0.4</v>
      </c>
      <c r="E65" s="57">
        <v>0.4</v>
      </c>
      <c r="F65" s="57">
        <v>0.4</v>
      </c>
      <c r="G65" s="57">
        <v>0.4</v>
      </c>
      <c r="H65" s="10"/>
    </row>
    <row r="66" ht="19.5" customHeight="1">
      <c r="A66" s="3"/>
      <c r="B66" s="3"/>
      <c r="C66" s="3"/>
      <c r="D66" s="3"/>
      <c r="E66" s="3"/>
      <c r="F66" s="3"/>
      <c r="G66" s="3"/>
      <c r="H66" s="10"/>
    </row>
    <row r="67" ht="48.0" customHeight="1">
      <c r="A67" s="25" t="s">
        <v>159</v>
      </c>
      <c r="B67" s="66">
        <f t="shared" ref="B67:G67" si="15">INDEX(B68:B70,MATCH($B$3,$A68:$A70,0))</f>
        <v>5</v>
      </c>
      <c r="C67" s="66">
        <f t="shared" si="15"/>
        <v>5</v>
      </c>
      <c r="D67" s="66">
        <f t="shared" si="15"/>
        <v>5</v>
      </c>
      <c r="E67" s="66">
        <f t="shared" si="15"/>
        <v>5</v>
      </c>
      <c r="F67" s="66">
        <f t="shared" si="15"/>
        <v>5</v>
      </c>
      <c r="G67" s="66">
        <f t="shared" si="15"/>
        <v>5</v>
      </c>
      <c r="H67" s="25" t="s">
        <v>160</v>
      </c>
    </row>
    <row r="68" ht="19.5" customHeight="1">
      <c r="A68" s="3" t="s">
        <v>128</v>
      </c>
      <c r="B68" s="67">
        <v>5.0</v>
      </c>
      <c r="C68" s="67">
        <v>5.0</v>
      </c>
      <c r="D68" s="67">
        <v>5.0</v>
      </c>
      <c r="E68" s="67">
        <v>5.0</v>
      </c>
      <c r="F68" s="67">
        <v>5.0</v>
      </c>
      <c r="G68" s="67">
        <v>5.0</v>
      </c>
      <c r="H68" s="10"/>
    </row>
    <row r="69" ht="19.5" customHeight="1">
      <c r="A69" s="3" t="s">
        <v>134</v>
      </c>
      <c r="B69" s="67">
        <v>6.0</v>
      </c>
      <c r="C69" s="67">
        <v>6.0</v>
      </c>
      <c r="D69" s="67">
        <v>6.0</v>
      </c>
      <c r="E69" s="67">
        <v>6.0</v>
      </c>
      <c r="F69" s="67">
        <v>6.0</v>
      </c>
      <c r="G69" s="67">
        <v>6.0</v>
      </c>
      <c r="H69" s="10"/>
    </row>
    <row r="70" ht="19.5" customHeight="1">
      <c r="A70" s="3" t="s">
        <v>135</v>
      </c>
      <c r="B70" s="67">
        <v>4.0</v>
      </c>
      <c r="C70" s="67">
        <v>4.0</v>
      </c>
      <c r="D70" s="67">
        <v>4.0</v>
      </c>
      <c r="E70" s="67">
        <v>4.0</v>
      </c>
      <c r="F70" s="67">
        <v>4.0</v>
      </c>
      <c r="G70" s="67">
        <v>4.0</v>
      </c>
      <c r="H70" s="10"/>
    </row>
    <row r="71" ht="19.5" customHeight="1">
      <c r="A71" s="3"/>
      <c r="B71" s="3"/>
      <c r="C71" s="3"/>
      <c r="D71" s="3"/>
      <c r="E71" s="3"/>
      <c r="F71" s="3"/>
      <c r="G71" s="3"/>
      <c r="H71" s="10"/>
    </row>
    <row r="72" ht="48.0" customHeight="1">
      <c r="A72" s="25" t="s">
        <v>161</v>
      </c>
      <c r="B72" s="59">
        <f t="shared" ref="B72:G72" si="16">INDEX(B73:B75,MATCH($B$3,$A73:$A75,0))</f>
        <v>0.6</v>
      </c>
      <c r="C72" s="59">
        <f t="shared" si="16"/>
        <v>0.6</v>
      </c>
      <c r="D72" s="59">
        <f t="shared" si="16"/>
        <v>0.6</v>
      </c>
      <c r="E72" s="59">
        <f t="shared" si="16"/>
        <v>0.6</v>
      </c>
      <c r="F72" s="59">
        <f t="shared" si="16"/>
        <v>0.6</v>
      </c>
      <c r="G72" s="59">
        <f t="shared" si="16"/>
        <v>0.6</v>
      </c>
      <c r="H72" s="25" t="s">
        <v>162</v>
      </c>
    </row>
    <row r="73" ht="19.5" customHeight="1">
      <c r="A73" s="3" t="s">
        <v>128</v>
      </c>
      <c r="B73" s="57">
        <v>0.6</v>
      </c>
      <c r="C73" s="57">
        <v>0.6</v>
      </c>
      <c r="D73" s="57">
        <v>0.6</v>
      </c>
      <c r="E73" s="57">
        <v>0.6</v>
      </c>
      <c r="F73" s="57">
        <v>0.6</v>
      </c>
      <c r="G73" s="57">
        <v>0.6</v>
      </c>
      <c r="H73" s="10"/>
    </row>
    <row r="74" ht="19.5" customHeight="1">
      <c r="A74" s="3" t="s">
        <v>134</v>
      </c>
      <c r="B74" s="57">
        <v>0.6</v>
      </c>
      <c r="C74" s="57">
        <v>0.6</v>
      </c>
      <c r="D74" s="57">
        <v>0.6</v>
      </c>
      <c r="E74" s="57">
        <v>0.6</v>
      </c>
      <c r="F74" s="57">
        <v>0.6</v>
      </c>
      <c r="G74" s="57">
        <v>0.6</v>
      </c>
      <c r="H74" s="10"/>
    </row>
    <row r="75" ht="19.5" customHeight="1">
      <c r="A75" s="3" t="s">
        <v>135</v>
      </c>
      <c r="B75" s="57">
        <v>0.6</v>
      </c>
      <c r="C75" s="57">
        <v>0.6</v>
      </c>
      <c r="D75" s="57">
        <v>0.6</v>
      </c>
      <c r="E75" s="57">
        <v>0.6</v>
      </c>
      <c r="F75" s="57">
        <v>0.6</v>
      </c>
      <c r="G75" s="57">
        <v>0.6</v>
      </c>
      <c r="H75" s="10"/>
    </row>
    <row r="76" ht="19.5" customHeight="1">
      <c r="A76" s="3"/>
      <c r="B76" s="3"/>
      <c r="C76" s="3"/>
      <c r="D76" s="3"/>
      <c r="E76" s="3"/>
      <c r="F76" s="3"/>
      <c r="G76" s="3"/>
      <c r="H76" s="10"/>
    </row>
    <row r="77" ht="48.0" customHeight="1">
      <c r="A77" s="25" t="s">
        <v>163</v>
      </c>
      <c r="B77" s="59">
        <f t="shared" ref="B77:G77" si="17">INDEX(B78:B80,MATCH($B$3,$A78:$A80,0))</f>
        <v>0.18</v>
      </c>
      <c r="C77" s="59">
        <f t="shared" si="17"/>
        <v>0.18</v>
      </c>
      <c r="D77" s="59">
        <f t="shared" si="17"/>
        <v>0.18</v>
      </c>
      <c r="E77" s="59">
        <f t="shared" si="17"/>
        <v>0.18</v>
      </c>
      <c r="F77" s="59">
        <f t="shared" si="17"/>
        <v>0.18</v>
      </c>
      <c r="G77" s="59">
        <f t="shared" si="17"/>
        <v>0.18</v>
      </c>
      <c r="H77" s="65" t="s">
        <v>164</v>
      </c>
    </row>
    <row r="78" ht="19.5" customHeight="1">
      <c r="A78" s="3" t="s">
        <v>128</v>
      </c>
      <c r="B78" s="62">
        <v>0.18</v>
      </c>
      <c r="C78" s="62">
        <v>0.18</v>
      </c>
      <c r="D78" s="62">
        <v>0.18</v>
      </c>
      <c r="E78" s="62">
        <v>0.18</v>
      </c>
      <c r="F78" s="62">
        <v>0.18</v>
      </c>
      <c r="G78" s="62">
        <v>0.18</v>
      </c>
      <c r="H78" s="10"/>
    </row>
    <row r="79" ht="19.5" customHeight="1">
      <c r="A79" s="3" t="s">
        <v>134</v>
      </c>
      <c r="B79" s="62">
        <v>0.18</v>
      </c>
      <c r="C79" s="62">
        <v>0.18</v>
      </c>
      <c r="D79" s="62">
        <v>0.18</v>
      </c>
      <c r="E79" s="62">
        <v>0.18</v>
      </c>
      <c r="F79" s="62">
        <v>0.18</v>
      </c>
      <c r="G79" s="62">
        <v>0.18</v>
      </c>
      <c r="H79" s="10"/>
    </row>
    <row r="80" ht="19.5" customHeight="1">
      <c r="A80" s="3" t="s">
        <v>135</v>
      </c>
      <c r="B80" s="62">
        <v>0.18</v>
      </c>
      <c r="C80" s="62">
        <v>0.18</v>
      </c>
      <c r="D80" s="62">
        <v>0.18</v>
      </c>
      <c r="E80" s="62">
        <v>0.18</v>
      </c>
      <c r="F80" s="62">
        <v>0.18</v>
      </c>
      <c r="G80" s="62">
        <v>0.18</v>
      </c>
      <c r="H80" s="10"/>
    </row>
    <row r="81" ht="19.5" customHeight="1">
      <c r="A81" s="3"/>
      <c r="B81" s="3"/>
      <c r="C81" s="3"/>
      <c r="D81" s="3"/>
      <c r="E81" s="3"/>
      <c r="F81" s="3"/>
      <c r="G81" s="3"/>
      <c r="H81" s="10"/>
    </row>
    <row r="82" ht="48.0" customHeight="1">
      <c r="A82" s="61" t="s">
        <v>165</v>
      </c>
      <c r="B82" s="59"/>
      <c r="C82" s="59"/>
      <c r="D82" s="59"/>
      <c r="E82" s="59"/>
      <c r="F82" s="59"/>
      <c r="G82" s="59"/>
      <c r="H82" s="61" t="s">
        <v>166</v>
      </c>
    </row>
    <row r="83" ht="19.5" customHeight="1">
      <c r="A83" s="3"/>
      <c r="B83" s="60"/>
      <c r="C83" s="57"/>
      <c r="D83" s="57"/>
      <c r="E83" s="57"/>
      <c r="F83" s="57"/>
      <c r="G83" s="57"/>
      <c r="H83" s="10"/>
    </row>
    <row r="84" ht="19.5" customHeight="1">
      <c r="A84" s="3"/>
      <c r="B84" s="60"/>
      <c r="C84" s="57"/>
      <c r="D84" s="57"/>
      <c r="E84" s="57"/>
      <c r="F84" s="57"/>
      <c r="G84" s="57"/>
      <c r="H84" s="10"/>
    </row>
    <row r="85" ht="19.5" customHeight="1">
      <c r="A85" s="3"/>
      <c r="B85" s="60"/>
      <c r="C85" s="57"/>
      <c r="D85" s="57"/>
      <c r="E85" s="57"/>
      <c r="F85" s="57"/>
      <c r="G85" s="57"/>
      <c r="H85" s="10"/>
    </row>
    <row r="86" ht="19.5" customHeight="1">
      <c r="A86" s="3"/>
      <c r="B86" s="3"/>
      <c r="C86" s="3"/>
      <c r="D86" s="3"/>
      <c r="E86" s="3"/>
      <c r="F86" s="3"/>
      <c r="G86" s="3"/>
      <c r="H86" s="3"/>
    </row>
    <row r="87" ht="19.5" customHeight="1">
      <c r="A87" s="3"/>
      <c r="B87" s="3"/>
      <c r="C87" s="3"/>
      <c r="D87" s="3"/>
      <c r="E87" s="3"/>
      <c r="F87" s="3"/>
      <c r="G87" s="3"/>
      <c r="H87" s="3"/>
    </row>
    <row r="88" ht="32.25" customHeight="1">
      <c r="A88" s="10" t="s">
        <v>167</v>
      </c>
      <c r="B88" s="10" t="s">
        <v>168</v>
      </c>
      <c r="C88" s="10" t="s">
        <v>6</v>
      </c>
    </row>
    <row r="89" ht="32.25" customHeight="1">
      <c r="A89" s="10" t="s">
        <v>169</v>
      </c>
      <c r="B89" s="68">
        <v>0.5</v>
      </c>
      <c r="C89" s="10" t="s">
        <v>170</v>
      </c>
    </row>
    <row r="90" ht="32.25" customHeight="1">
      <c r="A90" s="10" t="s">
        <v>171</v>
      </c>
      <c r="B90" s="69">
        <v>3.0</v>
      </c>
      <c r="C90" s="10" t="s">
        <v>172</v>
      </c>
    </row>
    <row r="91" ht="32.25" customHeight="1">
      <c r="A91" s="10" t="s">
        <v>173</v>
      </c>
      <c r="B91" s="69">
        <v>15.0</v>
      </c>
      <c r="C91" s="10" t="s">
        <v>174</v>
      </c>
    </row>
    <row r="92" ht="32.25" customHeight="1">
      <c r="A92" s="10" t="s">
        <v>175</v>
      </c>
      <c r="B92" s="69">
        <v>20.0</v>
      </c>
      <c r="C92" s="10" t="s">
        <v>176</v>
      </c>
    </row>
    <row r="93" ht="32.25" customHeight="1">
      <c r="A93" s="10" t="s">
        <v>177</v>
      </c>
      <c r="B93" s="70">
        <f>AVERAGE('Sources and basis'!B51:B52)-'Historical base'!E35</f>
        <v>119402</v>
      </c>
      <c r="C93" s="10" t="s">
        <v>178</v>
      </c>
    </row>
    <row r="94" ht="32.25" customHeight="1">
      <c r="A94" s="10" t="s">
        <v>179</v>
      </c>
      <c r="B94" s="70">
        <f>MIN('Sources and basis'!B56,'Sources and basis'!I47)</f>
        <v>1055</v>
      </c>
      <c r="C94" s="10" t="s">
        <v>180</v>
      </c>
    </row>
    <row r="95" ht="32.25" customHeight="1">
      <c r="A95" s="10" t="s">
        <v>181</v>
      </c>
      <c r="B95" s="71">
        <f>('Historical base'!E39+'Sources and basis'!D47)/'Historical base'!E16</f>
        <v>0.06152151577</v>
      </c>
      <c r="C95" s="10" t="s">
        <v>182</v>
      </c>
    </row>
    <row r="96" ht="32.25" customHeight="1">
      <c r="A96" s="10" t="s">
        <v>183</v>
      </c>
      <c r="B96" s="10" t="s">
        <v>184</v>
      </c>
      <c r="C96" s="7" t="s">
        <v>185</v>
      </c>
    </row>
    <row r="97" ht="19.5" customHeight="1">
      <c r="A97" s="3"/>
      <c r="B97" s="3"/>
      <c r="C97" s="3"/>
      <c r="D97" s="3"/>
      <c r="E97" s="3"/>
      <c r="F97" s="3"/>
      <c r="G97" s="3"/>
      <c r="H97" s="3"/>
    </row>
    <row r="98" ht="34.5" customHeight="1">
      <c r="A98" s="55" t="s">
        <v>186</v>
      </c>
    </row>
    <row r="99" ht="34.5" customHeight="1">
      <c r="A99" s="55" t="s">
        <v>187</v>
      </c>
    </row>
    <row r="103" ht="49.5" customHeight="1">
      <c r="A103" s="72" t="s">
        <v>188</v>
      </c>
      <c r="B103" s="73">
        <f t="shared" ref="B103:G103" si="18">INDEX(B104:B106,MATCH($B$3,$A104:$A106,0))</f>
        <v>56.6288414</v>
      </c>
      <c r="C103" s="73">
        <f t="shared" si="18"/>
        <v>56.6288414</v>
      </c>
      <c r="D103" s="73">
        <f t="shared" si="18"/>
        <v>56.6288414</v>
      </c>
      <c r="E103" s="73">
        <f t="shared" si="18"/>
        <v>56.6288414</v>
      </c>
      <c r="F103" s="73">
        <f t="shared" si="18"/>
        <v>56.6288414</v>
      </c>
      <c r="G103" s="73">
        <f t="shared" si="18"/>
        <v>56.6288414</v>
      </c>
      <c r="H103" s="72" t="s">
        <v>189</v>
      </c>
    </row>
    <row r="104" ht="20.25" customHeight="1">
      <c r="A104" s="3" t="s">
        <v>128</v>
      </c>
      <c r="B104" s="74">
        <f>'Working capital'!$C$36</f>
        <v>56.6288414</v>
      </c>
      <c r="C104" s="74">
        <f>'Working capital'!$C$36</f>
        <v>56.6288414</v>
      </c>
      <c r="D104" s="74">
        <f>'Working capital'!$C$36</f>
        <v>56.6288414</v>
      </c>
      <c r="E104" s="74">
        <f>'Working capital'!$C$36</f>
        <v>56.6288414</v>
      </c>
      <c r="F104" s="75">
        <f>'Working capital'!$C$36</f>
        <v>56.6288414</v>
      </c>
      <c r="G104" s="74">
        <f>'Working capital'!$C$36</f>
        <v>56.6288414</v>
      </c>
      <c r="H104" s="3"/>
    </row>
    <row r="105" ht="20.25" customHeight="1">
      <c r="A105" s="3" t="s">
        <v>134</v>
      </c>
      <c r="B105" s="74">
        <f>'Working capital'!$C$36</f>
        <v>56.6288414</v>
      </c>
      <c r="C105" s="74">
        <f>'Working capital'!$C$36</f>
        <v>56.6288414</v>
      </c>
      <c r="D105" s="74">
        <f>'Working capital'!$C$36</f>
        <v>56.6288414</v>
      </c>
      <c r="E105" s="74">
        <f>'Working capital'!$C$36</f>
        <v>56.6288414</v>
      </c>
      <c r="F105" s="74">
        <f>'Working capital'!$C$36</f>
        <v>56.6288414</v>
      </c>
      <c r="G105" s="74">
        <f>'Working capital'!$C$36</f>
        <v>56.6288414</v>
      </c>
      <c r="H105" s="3"/>
    </row>
    <row r="106" ht="20.25" customHeight="1">
      <c r="A106" s="3" t="s">
        <v>135</v>
      </c>
      <c r="B106" s="74">
        <f>'Working capital'!$C$36</f>
        <v>56.6288414</v>
      </c>
      <c r="C106" s="74">
        <f>'Working capital'!$C$36</f>
        <v>56.6288414</v>
      </c>
      <c r="D106" s="74">
        <f>'Working capital'!$C$36</f>
        <v>56.6288414</v>
      </c>
      <c r="E106" s="74">
        <f>'Working capital'!$C$36</f>
        <v>56.6288414</v>
      </c>
      <c r="F106" s="74">
        <f>'Working capital'!$C$36</f>
        <v>56.6288414</v>
      </c>
      <c r="G106" s="74">
        <f>'Working capital'!$C$36</f>
        <v>56.6288414</v>
      </c>
      <c r="H106" s="3"/>
    </row>
    <row r="107" ht="20.25" customHeight="1">
      <c r="A107" s="3"/>
      <c r="B107" s="3"/>
      <c r="C107" s="3"/>
      <c r="D107" s="3"/>
      <c r="E107" s="3"/>
      <c r="F107" s="3"/>
      <c r="G107" s="3"/>
      <c r="H107" s="3"/>
    </row>
    <row r="108" ht="49.5" customHeight="1">
      <c r="A108" s="72" t="s">
        <v>190</v>
      </c>
      <c r="B108" s="76">
        <f t="shared" ref="B108:G108" si="19">INDEX(B109:B111,MATCH($B$3,$A109:$A111,0))</f>
        <v>0.02240807776</v>
      </c>
      <c r="C108" s="76">
        <f t="shared" si="19"/>
        <v>0.01423132542</v>
      </c>
      <c r="D108" s="76">
        <f t="shared" si="19"/>
        <v>0.006054573077</v>
      </c>
      <c r="E108" s="76">
        <f t="shared" si="19"/>
        <v>0.006054573077</v>
      </c>
      <c r="F108" s="76">
        <f t="shared" si="19"/>
        <v>0.006054573077</v>
      </c>
      <c r="G108" s="76">
        <f t="shared" si="19"/>
        <v>0.006054573077</v>
      </c>
      <c r="H108" s="77" t="s">
        <v>191</v>
      </c>
    </row>
    <row r="109" ht="20.25" customHeight="1">
      <c r="A109" s="3" t="s">
        <v>128</v>
      </c>
      <c r="B109" s="29">
        <f>'Working capital'!$C$37</f>
        <v>0.02240807776</v>
      </c>
      <c r="C109" s="29">
        <f>AVERAGE('Working capital'!$B$37:$C$37)</f>
        <v>0.01423132542</v>
      </c>
      <c r="D109" s="29">
        <f>'Working capital'!$B$37</f>
        <v>0.006054573077</v>
      </c>
      <c r="E109" s="29">
        <f>'Working capital'!$B$37</f>
        <v>0.006054573077</v>
      </c>
      <c r="F109" s="29">
        <f>'Working capital'!$B$37</f>
        <v>0.006054573077</v>
      </c>
      <c r="G109" s="29">
        <f>'Working capital'!$B$37</f>
        <v>0.006054573077</v>
      </c>
      <c r="H109" s="3"/>
    </row>
    <row r="110" ht="20.25" customHeight="1">
      <c r="A110" s="3" t="s">
        <v>134</v>
      </c>
      <c r="B110" s="29">
        <f>'Working capital'!$C$37</f>
        <v>0.02240807776</v>
      </c>
      <c r="C110" s="29">
        <f>'Working capital'!$B$37</f>
        <v>0.006054573077</v>
      </c>
      <c r="D110" s="29">
        <f>'Working capital'!$B$37</f>
        <v>0.006054573077</v>
      </c>
      <c r="E110" s="29">
        <f>'Working capital'!$B$37</f>
        <v>0.006054573077</v>
      </c>
      <c r="F110" s="29">
        <f>'Working capital'!$B$37</f>
        <v>0.006054573077</v>
      </c>
      <c r="G110" s="29">
        <f>'Working capital'!$B$37</f>
        <v>0.006054573077</v>
      </c>
      <c r="H110" s="3"/>
    </row>
    <row r="111" ht="20.25" customHeight="1">
      <c r="A111" s="3" t="s">
        <v>135</v>
      </c>
      <c r="B111" s="29">
        <f>'Working capital'!$C$37</f>
        <v>0.02240807776</v>
      </c>
      <c r="C111" s="29">
        <f>'Working capital'!$C$37</f>
        <v>0.02240807776</v>
      </c>
      <c r="D111" s="29">
        <f>AVERAGE('Working capital'!$B$37:$C$37)</f>
        <v>0.01423132542</v>
      </c>
      <c r="E111" s="29">
        <f>'Working capital'!$B$37</f>
        <v>0.006054573077</v>
      </c>
      <c r="F111" s="29">
        <f>'Working capital'!$B$37</f>
        <v>0.006054573077</v>
      </c>
      <c r="G111" s="29">
        <f>'Working capital'!$B$37</f>
        <v>0.006054573077</v>
      </c>
      <c r="H111" s="3"/>
    </row>
    <row r="112" ht="20.25" customHeight="1">
      <c r="A112" s="3"/>
      <c r="B112" s="3"/>
      <c r="C112" s="3"/>
      <c r="D112" s="3"/>
      <c r="E112" s="3"/>
      <c r="F112" s="3"/>
      <c r="G112" s="3"/>
      <c r="H112" s="3"/>
    </row>
    <row r="113" ht="49.5" customHeight="1">
      <c r="A113" s="72" t="s">
        <v>192</v>
      </c>
      <c r="B113" s="76">
        <f t="shared" ref="B113:G113" si="20">INDEX(B114:B116,MATCH($B$3,$A114:$A116,0))</f>
        <v>0.03315794432</v>
      </c>
      <c r="C113" s="76">
        <f t="shared" si="20"/>
        <v>0.03315794432</v>
      </c>
      <c r="D113" s="76">
        <f t="shared" si="20"/>
        <v>0.03315794432</v>
      </c>
      <c r="E113" s="76">
        <f t="shared" si="20"/>
        <v>0.03315794432</v>
      </c>
      <c r="F113" s="76">
        <f t="shared" si="20"/>
        <v>0.03315794432</v>
      </c>
      <c r="G113" s="76">
        <f t="shared" si="20"/>
        <v>0.03315794432</v>
      </c>
      <c r="H113" s="72" t="s">
        <v>193</v>
      </c>
    </row>
    <row r="114" ht="20.25" customHeight="1">
      <c r="A114" s="3" t="s">
        <v>128</v>
      </c>
      <c r="B114" s="29">
        <f>'Working capital'!$C$38</f>
        <v>0.03315794432</v>
      </c>
      <c r="C114" s="29">
        <f>'Working capital'!$C$38</f>
        <v>0.03315794432</v>
      </c>
      <c r="D114" s="29">
        <f>'Working capital'!$C$38</f>
        <v>0.03315794432</v>
      </c>
      <c r="E114" s="29">
        <f>'Working capital'!$C$38</f>
        <v>0.03315794432</v>
      </c>
      <c r="F114" s="29">
        <f>'Working capital'!$C$38</f>
        <v>0.03315794432</v>
      </c>
      <c r="G114" s="29">
        <f>'Working capital'!$C$38</f>
        <v>0.03315794432</v>
      </c>
      <c r="H114" s="3"/>
    </row>
    <row r="115" ht="20.25" customHeight="1">
      <c r="A115" s="3" t="s">
        <v>134</v>
      </c>
      <c r="B115" s="29">
        <f>'Working capital'!$C$38</f>
        <v>0.03315794432</v>
      </c>
      <c r="C115" s="29">
        <f>'Working capital'!$C$38</f>
        <v>0.03315794432</v>
      </c>
      <c r="D115" s="29">
        <f>'Working capital'!$C$38</f>
        <v>0.03315794432</v>
      </c>
      <c r="E115" s="29">
        <f>'Working capital'!$C$38</f>
        <v>0.03315794432</v>
      </c>
      <c r="F115" s="29">
        <f>'Working capital'!$C$38</f>
        <v>0.03315794432</v>
      </c>
      <c r="G115" s="29">
        <f>'Working capital'!$C$38</f>
        <v>0.03315794432</v>
      </c>
      <c r="H115" s="3"/>
    </row>
    <row r="116" ht="20.25" customHeight="1">
      <c r="A116" s="3" t="s">
        <v>135</v>
      </c>
      <c r="B116" s="29">
        <f>'Working capital'!$C$38</f>
        <v>0.03315794432</v>
      </c>
      <c r="C116" s="29">
        <f>'Working capital'!$C$38</f>
        <v>0.03315794432</v>
      </c>
      <c r="D116" s="29">
        <f>'Working capital'!$C$38</f>
        <v>0.03315794432</v>
      </c>
      <c r="E116" s="29">
        <f>'Working capital'!$C$38</f>
        <v>0.03315794432</v>
      </c>
      <c r="F116" s="29">
        <f>'Working capital'!$C$38</f>
        <v>0.03315794432</v>
      </c>
      <c r="G116" s="29">
        <f>'Working capital'!$C$38</f>
        <v>0.03315794432</v>
      </c>
      <c r="H116" s="3"/>
    </row>
    <row r="117" ht="20.25" customHeight="1">
      <c r="A117" s="3"/>
      <c r="B117" s="3"/>
      <c r="C117" s="3"/>
      <c r="D117" s="3"/>
      <c r="E117" s="3"/>
      <c r="F117" s="3"/>
      <c r="G117" s="3"/>
      <c r="H117" s="3"/>
    </row>
    <row r="118" ht="49.5" customHeight="1">
      <c r="A118" s="72" t="s">
        <v>194</v>
      </c>
      <c r="B118" s="76">
        <f t="shared" ref="B118:G118" si="21">INDEX(B119:B121,MATCH($B$3,$A119:$A121,0))</f>
        <v>0.01646458802</v>
      </c>
      <c r="C118" s="76">
        <f t="shared" si="21"/>
        <v>0.01646458802</v>
      </c>
      <c r="D118" s="76">
        <f t="shared" si="21"/>
        <v>0.01646458802</v>
      </c>
      <c r="E118" s="76">
        <f t="shared" si="21"/>
        <v>0.01646458802</v>
      </c>
      <c r="F118" s="76">
        <f t="shared" si="21"/>
        <v>0.01646458802</v>
      </c>
      <c r="G118" s="76">
        <f t="shared" si="21"/>
        <v>0.01646458802</v>
      </c>
      <c r="H118" s="72" t="s">
        <v>193</v>
      </c>
    </row>
    <row r="119" ht="20.25" customHeight="1">
      <c r="A119" s="3" t="s">
        <v>128</v>
      </c>
      <c r="B119" s="29">
        <f>'Working capital'!$C$39</f>
        <v>0.01646458802</v>
      </c>
      <c r="C119" s="29">
        <f>'Working capital'!$C$39</f>
        <v>0.01646458802</v>
      </c>
      <c r="D119" s="29">
        <f>'Working capital'!$C$39</f>
        <v>0.01646458802</v>
      </c>
      <c r="E119" s="29">
        <f>'Working capital'!$C$39</f>
        <v>0.01646458802</v>
      </c>
      <c r="F119" s="29">
        <f>'Working capital'!$C$39</f>
        <v>0.01646458802</v>
      </c>
      <c r="G119" s="29">
        <f>'Working capital'!$C$39</f>
        <v>0.01646458802</v>
      </c>
      <c r="H119" s="3"/>
    </row>
    <row r="120" ht="20.25" customHeight="1">
      <c r="A120" s="3" t="s">
        <v>134</v>
      </c>
      <c r="B120" s="29">
        <f>'Working capital'!$C$39</f>
        <v>0.01646458802</v>
      </c>
      <c r="C120" s="29">
        <f>'Working capital'!$C$39</f>
        <v>0.01646458802</v>
      </c>
      <c r="D120" s="29">
        <f>'Working capital'!$C$39</f>
        <v>0.01646458802</v>
      </c>
      <c r="E120" s="29">
        <f>'Working capital'!$C$39</f>
        <v>0.01646458802</v>
      </c>
      <c r="F120" s="29">
        <f>'Working capital'!$C$39</f>
        <v>0.01646458802</v>
      </c>
      <c r="G120" s="29">
        <f>'Working capital'!$C$39</f>
        <v>0.01646458802</v>
      </c>
      <c r="H120" s="3"/>
    </row>
    <row r="121" ht="20.25" customHeight="1">
      <c r="A121" s="3" t="s">
        <v>135</v>
      </c>
      <c r="B121" s="29">
        <f>'Working capital'!$C$39</f>
        <v>0.01646458802</v>
      </c>
      <c r="C121" s="29">
        <f>'Working capital'!$C$39</f>
        <v>0.01646458802</v>
      </c>
      <c r="D121" s="29">
        <f>'Working capital'!$C$39</f>
        <v>0.01646458802</v>
      </c>
      <c r="E121" s="29">
        <f>'Working capital'!$C$39</f>
        <v>0.01646458802</v>
      </c>
      <c r="F121" s="29">
        <f>'Working capital'!$C$39</f>
        <v>0.01646458802</v>
      </c>
      <c r="G121" s="29">
        <f>'Working capital'!$C$39</f>
        <v>0.01646458802</v>
      </c>
      <c r="H121" s="3"/>
    </row>
    <row r="122" ht="20.25" customHeight="1">
      <c r="A122" s="3"/>
      <c r="B122" s="3"/>
      <c r="C122" s="3"/>
      <c r="D122" s="3"/>
      <c r="E122" s="3"/>
      <c r="F122" s="3"/>
      <c r="G122" s="3"/>
      <c r="H122" s="3"/>
    </row>
    <row r="123" ht="49.5" customHeight="1">
      <c r="A123" s="72" t="s">
        <v>195</v>
      </c>
      <c r="B123" s="76">
        <f t="shared" ref="B123:G123" si="22">INDEX(B124:B126,MATCH($B$3,$A124:$A126,0))</f>
        <v>0.03383527786</v>
      </c>
      <c r="C123" s="76">
        <f t="shared" si="22"/>
        <v>0.03383527786</v>
      </c>
      <c r="D123" s="76">
        <f t="shared" si="22"/>
        <v>0.03383527786</v>
      </c>
      <c r="E123" s="76">
        <f t="shared" si="22"/>
        <v>0.03383527786</v>
      </c>
      <c r="F123" s="76">
        <f t="shared" si="22"/>
        <v>0.03383527786</v>
      </c>
      <c r="G123" s="76">
        <f t="shared" si="22"/>
        <v>0.03383527786</v>
      </c>
      <c r="H123" s="72" t="s">
        <v>193</v>
      </c>
    </row>
    <row r="124" ht="20.25" customHeight="1">
      <c r="A124" s="3" t="s">
        <v>128</v>
      </c>
      <c r="B124" s="29">
        <f>'Working capital'!$C$40</f>
        <v>0.03383527786</v>
      </c>
      <c r="C124" s="29">
        <f>'Working capital'!$C$40</f>
        <v>0.03383527786</v>
      </c>
      <c r="D124" s="29">
        <f>'Working capital'!$C$40</f>
        <v>0.03383527786</v>
      </c>
      <c r="E124" s="29">
        <f>'Working capital'!$C$40</f>
        <v>0.03383527786</v>
      </c>
      <c r="F124" s="29">
        <f>'Working capital'!$C$40</f>
        <v>0.03383527786</v>
      </c>
      <c r="G124" s="29">
        <f>'Working capital'!$C$40</f>
        <v>0.03383527786</v>
      </c>
      <c r="H124" s="3"/>
    </row>
    <row r="125" ht="20.25" customHeight="1">
      <c r="A125" s="3" t="s">
        <v>134</v>
      </c>
      <c r="B125" s="29">
        <f>'Working capital'!$C$40</f>
        <v>0.03383527786</v>
      </c>
      <c r="C125" s="29">
        <f>'Working capital'!$C$40</f>
        <v>0.03383527786</v>
      </c>
      <c r="D125" s="29">
        <f>'Working capital'!$C$40</f>
        <v>0.03383527786</v>
      </c>
      <c r="E125" s="29">
        <f>'Working capital'!$C$40</f>
        <v>0.03383527786</v>
      </c>
      <c r="F125" s="29">
        <f>'Working capital'!$C$40</f>
        <v>0.03383527786</v>
      </c>
      <c r="G125" s="29">
        <f>'Working capital'!$C$40</f>
        <v>0.03383527786</v>
      </c>
      <c r="H125" s="3"/>
    </row>
    <row r="126" ht="20.25" customHeight="1">
      <c r="A126" s="3" t="s">
        <v>135</v>
      </c>
      <c r="B126" s="29">
        <f>'Working capital'!$C$40</f>
        <v>0.03383527786</v>
      </c>
      <c r="C126" s="29">
        <f>'Working capital'!$C$40</f>
        <v>0.03383527786</v>
      </c>
      <c r="D126" s="29">
        <f>'Working capital'!$C$40</f>
        <v>0.03383527786</v>
      </c>
      <c r="E126" s="29">
        <f>'Working capital'!$C$40</f>
        <v>0.03383527786</v>
      </c>
      <c r="F126" s="29">
        <f>'Working capital'!$C$40</f>
        <v>0.03383527786</v>
      </c>
      <c r="G126" s="29">
        <f>'Working capital'!$C$40</f>
        <v>0.03383527786</v>
      </c>
      <c r="H126" s="3"/>
    </row>
    <row r="127" ht="20.25" customHeight="1">
      <c r="A127" s="3"/>
      <c r="B127" s="3"/>
      <c r="C127" s="3"/>
      <c r="D127" s="3"/>
      <c r="E127" s="3"/>
      <c r="F127" s="3"/>
      <c r="G127" s="3"/>
      <c r="H127" s="3"/>
    </row>
    <row r="128" ht="49.5" customHeight="1">
      <c r="A128" s="72" t="s">
        <v>196</v>
      </c>
      <c r="B128" s="76">
        <f t="shared" ref="B128:G128" si="23">INDEX(B129:B131,MATCH($B$3,$A129:$A131,0))</f>
        <v>0.02377171617</v>
      </c>
      <c r="C128" s="76">
        <f t="shared" si="23"/>
        <v>0.02377171617</v>
      </c>
      <c r="D128" s="76">
        <f t="shared" si="23"/>
        <v>0.02377171617</v>
      </c>
      <c r="E128" s="76">
        <f t="shared" si="23"/>
        <v>0.02377171617</v>
      </c>
      <c r="F128" s="76">
        <f t="shared" si="23"/>
        <v>0.02377171617</v>
      </c>
      <c r="G128" s="76">
        <f t="shared" si="23"/>
        <v>0.02377171617</v>
      </c>
      <c r="H128" s="72" t="s">
        <v>193</v>
      </c>
    </row>
    <row r="129" ht="20.25" customHeight="1">
      <c r="A129" s="3" t="s">
        <v>128</v>
      </c>
      <c r="B129" s="29">
        <f>'Working capital'!$C$41</f>
        <v>0.02377171617</v>
      </c>
      <c r="C129" s="29">
        <f>'Working capital'!$C$41</f>
        <v>0.02377171617</v>
      </c>
      <c r="D129" s="29">
        <f>'Working capital'!$C$41</f>
        <v>0.02377171617</v>
      </c>
      <c r="E129" s="29">
        <f>'Working capital'!$C$41</f>
        <v>0.02377171617</v>
      </c>
      <c r="F129" s="29">
        <f>'Working capital'!$C$41</f>
        <v>0.02377171617</v>
      </c>
      <c r="G129" s="29">
        <f>'Working capital'!$C$41</f>
        <v>0.02377171617</v>
      </c>
      <c r="H129" s="3"/>
    </row>
    <row r="130" ht="20.25" customHeight="1">
      <c r="A130" s="3" t="s">
        <v>134</v>
      </c>
      <c r="B130" s="29">
        <f>'Working capital'!$C$41</f>
        <v>0.02377171617</v>
      </c>
      <c r="C130" s="29">
        <f>'Working capital'!$C$41</f>
        <v>0.02377171617</v>
      </c>
      <c r="D130" s="29">
        <f>'Working capital'!$C$41</f>
        <v>0.02377171617</v>
      </c>
      <c r="E130" s="29">
        <f>'Working capital'!$C$41</f>
        <v>0.02377171617</v>
      </c>
      <c r="F130" s="29">
        <f>'Working capital'!$C$41</f>
        <v>0.02377171617</v>
      </c>
      <c r="G130" s="29">
        <f>'Working capital'!$C$41</f>
        <v>0.02377171617</v>
      </c>
      <c r="H130" s="3"/>
    </row>
    <row r="131" ht="20.25" customHeight="1">
      <c r="A131" s="3" t="s">
        <v>135</v>
      </c>
      <c r="B131" s="29">
        <f>'Working capital'!$C$41</f>
        <v>0.02377171617</v>
      </c>
      <c r="C131" s="29">
        <f>'Working capital'!$C$41</f>
        <v>0.02377171617</v>
      </c>
      <c r="D131" s="29">
        <f>'Working capital'!$C$41</f>
        <v>0.02377171617</v>
      </c>
      <c r="E131" s="29">
        <f>'Working capital'!$C$41</f>
        <v>0.02377171617</v>
      </c>
      <c r="F131" s="29">
        <f>'Working capital'!$C$41</f>
        <v>0.02377171617</v>
      </c>
      <c r="G131" s="29">
        <f>'Working capital'!$C$41</f>
        <v>0.02377171617</v>
      </c>
      <c r="H131" s="3"/>
    </row>
    <row r="132" ht="20.25" customHeight="1">
      <c r="A132" s="3"/>
      <c r="B132" s="3"/>
      <c r="C132" s="3"/>
      <c r="D132" s="3"/>
      <c r="E132" s="3"/>
      <c r="F132" s="3"/>
      <c r="G132" s="3"/>
      <c r="H132" s="3"/>
    </row>
    <row r="133" ht="49.5" customHeight="1">
      <c r="A133" s="72" t="s">
        <v>197</v>
      </c>
      <c r="B133" s="76">
        <f t="shared" ref="B133:G133" si="24">INDEX(B134:B136,MATCH($B$3,$A134:$A136,0))</f>
        <v>0.01604517949</v>
      </c>
      <c r="C133" s="76">
        <f t="shared" si="24"/>
        <v>0.01604517949</v>
      </c>
      <c r="D133" s="76">
        <f t="shared" si="24"/>
        <v>0.01604517949</v>
      </c>
      <c r="E133" s="76">
        <f t="shared" si="24"/>
        <v>0.01604517949</v>
      </c>
      <c r="F133" s="76">
        <f t="shared" si="24"/>
        <v>0.01604517949</v>
      </c>
      <c r="G133" s="76">
        <f t="shared" si="24"/>
        <v>0.01604517949</v>
      </c>
      <c r="H133" s="72" t="s">
        <v>193</v>
      </c>
    </row>
    <row r="134" ht="20.25" customHeight="1">
      <c r="A134" s="3" t="s">
        <v>128</v>
      </c>
      <c r="B134" s="29">
        <f>'Working capital'!$C$42</f>
        <v>0.01604517949</v>
      </c>
      <c r="C134" s="29">
        <f>'Working capital'!$C$42</f>
        <v>0.01604517949</v>
      </c>
      <c r="D134" s="29">
        <f>'Working capital'!$C$42</f>
        <v>0.01604517949</v>
      </c>
      <c r="E134" s="29">
        <f>'Working capital'!$C$42</f>
        <v>0.01604517949</v>
      </c>
      <c r="F134" s="29">
        <f>'Working capital'!$C$42</f>
        <v>0.01604517949</v>
      </c>
      <c r="G134" s="29">
        <f>'Working capital'!$C$42</f>
        <v>0.01604517949</v>
      </c>
      <c r="H134" s="3"/>
    </row>
    <row r="135" ht="20.25" customHeight="1">
      <c r="A135" s="3" t="s">
        <v>134</v>
      </c>
      <c r="B135" s="29">
        <f>'Working capital'!$C$42</f>
        <v>0.01604517949</v>
      </c>
      <c r="C135" s="29">
        <f>'Working capital'!$C$42</f>
        <v>0.01604517949</v>
      </c>
      <c r="D135" s="29">
        <f>'Working capital'!$C$42</f>
        <v>0.01604517949</v>
      </c>
      <c r="E135" s="29">
        <f>'Working capital'!$C$42</f>
        <v>0.01604517949</v>
      </c>
      <c r="F135" s="29">
        <f>'Working capital'!$C$42</f>
        <v>0.01604517949</v>
      </c>
      <c r="G135" s="29">
        <f>'Working capital'!$C$42</f>
        <v>0.01604517949</v>
      </c>
      <c r="H135" s="3"/>
    </row>
    <row r="136" ht="20.25" customHeight="1">
      <c r="A136" s="3" t="s">
        <v>135</v>
      </c>
      <c r="B136" s="29">
        <f>'Working capital'!$C$42</f>
        <v>0.01604517949</v>
      </c>
      <c r="C136" s="29">
        <f>'Working capital'!$C$42</f>
        <v>0.01604517949</v>
      </c>
      <c r="D136" s="29">
        <f>'Working capital'!$C$42</f>
        <v>0.01604517949</v>
      </c>
      <c r="E136" s="29">
        <f>'Working capital'!$C$42</f>
        <v>0.01604517949</v>
      </c>
      <c r="F136" s="29">
        <f>'Working capital'!$C$42</f>
        <v>0.01604517949</v>
      </c>
      <c r="G136" s="29">
        <f>'Working capital'!$C$42</f>
        <v>0.01604517949</v>
      </c>
      <c r="H136" s="3"/>
    </row>
    <row r="137" ht="20.25" customHeight="1">
      <c r="A137" s="3"/>
      <c r="B137" s="3"/>
      <c r="C137" s="3"/>
      <c r="D137" s="3"/>
      <c r="E137" s="3"/>
      <c r="F137" s="3"/>
      <c r="G137" s="3"/>
      <c r="H137" s="3"/>
    </row>
    <row r="138" ht="49.5" customHeight="1">
      <c r="A138" s="72" t="s">
        <v>198</v>
      </c>
      <c r="B138" s="76">
        <f t="shared" ref="B138:G138" si="25">INDEX(B139:B141,MATCH($B$3,$A139:$A141,0))</f>
        <v>0.06170688054</v>
      </c>
      <c r="C138" s="76">
        <f t="shared" si="25"/>
        <v>0.06170688054</v>
      </c>
      <c r="D138" s="76">
        <f t="shared" si="25"/>
        <v>0.06170688054</v>
      </c>
      <c r="E138" s="76">
        <f t="shared" si="25"/>
        <v>0.06170688054</v>
      </c>
      <c r="F138" s="76">
        <f t="shared" si="25"/>
        <v>0.06170688054</v>
      </c>
      <c r="G138" s="76">
        <f t="shared" si="25"/>
        <v>0.06170688054</v>
      </c>
      <c r="H138" s="72" t="s">
        <v>193</v>
      </c>
    </row>
    <row r="139" ht="20.25" customHeight="1">
      <c r="A139" s="3" t="s">
        <v>128</v>
      </c>
      <c r="B139" s="29">
        <f>'Working capital'!$C$43</f>
        <v>0.06170688054</v>
      </c>
      <c r="C139" s="29">
        <f>'Working capital'!$C$43</f>
        <v>0.06170688054</v>
      </c>
      <c r="D139" s="29">
        <f>'Working capital'!$C$43</f>
        <v>0.06170688054</v>
      </c>
      <c r="E139" s="29">
        <f>'Working capital'!$C$43</f>
        <v>0.06170688054</v>
      </c>
      <c r="F139" s="29">
        <f>'Working capital'!$C$43</f>
        <v>0.06170688054</v>
      </c>
      <c r="G139" s="29">
        <f>'Working capital'!$C$43</f>
        <v>0.06170688054</v>
      </c>
      <c r="H139" s="3"/>
    </row>
    <row r="140" ht="20.25" customHeight="1">
      <c r="A140" s="3" t="s">
        <v>134</v>
      </c>
      <c r="B140" s="29">
        <f>'Working capital'!$C$43</f>
        <v>0.06170688054</v>
      </c>
      <c r="C140" s="29">
        <f>'Working capital'!$C$43</f>
        <v>0.06170688054</v>
      </c>
      <c r="D140" s="29">
        <f>'Working capital'!$C$43</f>
        <v>0.06170688054</v>
      </c>
      <c r="E140" s="29">
        <f>'Working capital'!$C$43</f>
        <v>0.06170688054</v>
      </c>
      <c r="F140" s="29">
        <f>'Working capital'!$C$43</f>
        <v>0.06170688054</v>
      </c>
      <c r="G140" s="29">
        <f>'Working capital'!$C$43</f>
        <v>0.06170688054</v>
      </c>
      <c r="H140" s="3"/>
    </row>
    <row r="141" ht="20.25" customHeight="1">
      <c r="A141" s="3" t="s">
        <v>135</v>
      </c>
      <c r="B141" s="29">
        <f>'Working capital'!$C$43</f>
        <v>0.06170688054</v>
      </c>
      <c r="C141" s="29">
        <f>'Working capital'!$C$43</f>
        <v>0.06170688054</v>
      </c>
      <c r="D141" s="29">
        <f>'Working capital'!$C$43</f>
        <v>0.06170688054</v>
      </c>
      <c r="E141" s="29">
        <f>'Working capital'!$C$43</f>
        <v>0.06170688054</v>
      </c>
      <c r="F141" s="29">
        <f>'Working capital'!$C$43</f>
        <v>0.06170688054</v>
      </c>
      <c r="G141" s="29">
        <f>'Working capital'!$C$43</f>
        <v>0.06170688054</v>
      </c>
      <c r="H141" s="3"/>
    </row>
    <row r="142" ht="20.25" customHeight="1">
      <c r="A142" s="3"/>
      <c r="B142" s="3"/>
      <c r="C142" s="3"/>
      <c r="D142" s="3"/>
      <c r="E142" s="3"/>
      <c r="F142" s="3"/>
      <c r="G142" s="3"/>
      <c r="H142" s="3"/>
    </row>
    <row r="143" ht="20.25" customHeight="1">
      <c r="A143" s="3"/>
      <c r="B143" s="3"/>
      <c r="C143" s="3"/>
      <c r="D143" s="3"/>
      <c r="E143" s="3"/>
      <c r="F143" s="3"/>
      <c r="G143" s="3"/>
      <c r="H143" s="3"/>
    </row>
    <row r="144" ht="20.25" customHeight="1">
      <c r="A144" s="3"/>
      <c r="B144" s="3"/>
      <c r="C144" s="3"/>
      <c r="D144" s="3"/>
      <c r="E144" s="3"/>
      <c r="F144" s="3"/>
      <c r="G144" s="3"/>
      <c r="H144" s="3"/>
    </row>
    <row r="145" ht="20.25" customHeight="1">
      <c r="A145" s="3"/>
      <c r="B145" s="3"/>
      <c r="C145" s="3"/>
      <c r="D145" s="3"/>
      <c r="E145" s="3"/>
      <c r="F145" s="3"/>
      <c r="G145" s="3"/>
      <c r="H145" s="3"/>
    </row>
    <row r="146" ht="31.5" customHeight="1">
      <c r="A146" s="78" t="s">
        <v>199</v>
      </c>
      <c r="B146" s="78" t="s">
        <v>5</v>
      </c>
      <c r="C146" s="6" t="s">
        <v>6</v>
      </c>
    </row>
    <row r="147" ht="31.5" customHeight="1">
      <c r="A147" s="3" t="s">
        <v>200</v>
      </c>
      <c r="B147" s="3">
        <v>5.0</v>
      </c>
      <c r="C147" s="10" t="s">
        <v>201</v>
      </c>
    </row>
    <row r="148" ht="31.5" customHeight="1">
      <c r="A148" s="3" t="s">
        <v>202</v>
      </c>
      <c r="B148" s="79"/>
      <c r="C148" s="15" t="s">
        <v>203</v>
      </c>
    </row>
    <row r="149" ht="31.5" customHeight="1">
      <c r="A149" s="3" t="s">
        <v>204</v>
      </c>
      <c r="B149" s="79">
        <v>0.21</v>
      </c>
      <c r="C149" s="10" t="s">
        <v>205</v>
      </c>
    </row>
    <row r="150" ht="20.25" customHeight="1">
      <c r="A150" s="3"/>
      <c r="B150" s="3"/>
      <c r="C150" s="3"/>
      <c r="D150" s="3"/>
      <c r="E150" s="3"/>
      <c r="F150" s="3"/>
      <c r="G150" s="3"/>
      <c r="H150" s="3"/>
    </row>
    <row r="151" ht="20.25" customHeight="1">
      <c r="A151" s="3"/>
      <c r="B151" s="3"/>
      <c r="C151" s="3"/>
      <c r="D151" s="3"/>
      <c r="E151" s="3"/>
      <c r="F151" s="3"/>
      <c r="G151" s="3"/>
      <c r="H151" s="3"/>
    </row>
    <row r="152" ht="20.25" customHeight="1">
      <c r="A152" s="3"/>
      <c r="B152" s="3"/>
      <c r="C152" s="3"/>
      <c r="D152" s="3"/>
      <c r="E152" s="3"/>
      <c r="F152" s="3"/>
      <c r="G152" s="3"/>
      <c r="H152" s="3"/>
    </row>
    <row r="153" ht="49.5" customHeight="1">
      <c r="A153" s="72" t="s">
        <v>206</v>
      </c>
      <c r="B153" s="76">
        <f t="shared" ref="B153:G153" si="26">INDEX(B154:B156,MATCH($B$3,$A154:$A156,0))</f>
        <v>0</v>
      </c>
      <c r="C153" s="76">
        <f t="shared" si="26"/>
        <v>0</v>
      </c>
      <c r="D153" s="76">
        <f t="shared" si="26"/>
        <v>0</v>
      </c>
      <c r="E153" s="76">
        <f t="shared" si="26"/>
        <v>0</v>
      </c>
      <c r="F153" s="76">
        <f t="shared" si="26"/>
        <v>0</v>
      </c>
      <c r="G153" s="76">
        <f t="shared" si="26"/>
        <v>0</v>
      </c>
      <c r="H153" s="72" t="s">
        <v>207</v>
      </c>
    </row>
    <row r="154" ht="20.25" customHeight="1">
      <c r="A154" s="3" t="s">
        <v>128</v>
      </c>
      <c r="B154" s="29">
        <v>0.0</v>
      </c>
      <c r="C154" s="29">
        <v>0.0</v>
      </c>
      <c r="D154" s="29">
        <v>0.0</v>
      </c>
      <c r="E154" s="29">
        <v>0.0</v>
      </c>
      <c r="F154" s="29">
        <v>0.0</v>
      </c>
      <c r="G154" s="29">
        <v>0.0</v>
      </c>
      <c r="H154" s="3"/>
    </row>
    <row r="155" ht="20.25" customHeight="1">
      <c r="A155" s="3" t="s">
        <v>134</v>
      </c>
      <c r="B155" s="29">
        <v>-0.0025</v>
      </c>
      <c r="C155" s="29">
        <v>-0.0025</v>
      </c>
      <c r="D155" s="29">
        <v>-0.003</v>
      </c>
      <c r="E155" s="29">
        <v>-0.003</v>
      </c>
      <c r="F155" s="29">
        <v>-0.004</v>
      </c>
      <c r="G155" s="29">
        <v>-0.005</v>
      </c>
      <c r="H155" s="3"/>
    </row>
    <row r="156" ht="20.25" customHeight="1">
      <c r="A156" s="3" t="s">
        <v>135</v>
      </c>
      <c r="B156" s="29">
        <v>0.0025</v>
      </c>
      <c r="C156" s="29">
        <v>0.0025</v>
      </c>
      <c r="D156" s="29">
        <v>0.003</v>
      </c>
      <c r="E156" s="29">
        <v>0.003</v>
      </c>
      <c r="F156" s="29">
        <v>0.004</v>
      </c>
      <c r="G156" s="29">
        <v>0.005</v>
      </c>
      <c r="H156" s="3"/>
    </row>
    <row r="157" ht="20.25" customHeight="1">
      <c r="A157" s="3"/>
      <c r="B157" s="3"/>
      <c r="C157" s="3"/>
      <c r="D157" s="3"/>
      <c r="E157" s="3"/>
      <c r="F157" s="3"/>
      <c r="G157" s="3"/>
      <c r="H157" s="3"/>
    </row>
    <row r="158" ht="49.5" customHeight="1">
      <c r="A158" s="77" t="s">
        <v>208</v>
      </c>
      <c r="B158" s="76"/>
      <c r="C158" s="76"/>
      <c r="D158" s="76"/>
      <c r="E158" s="76"/>
      <c r="F158" s="76"/>
      <c r="G158" s="76"/>
      <c r="H158" s="77" t="s">
        <v>209</v>
      </c>
    </row>
    <row r="159" ht="20.25" customHeight="1">
      <c r="A159" s="35" t="s">
        <v>210</v>
      </c>
      <c r="B159" s="29"/>
      <c r="C159" s="29"/>
      <c r="D159" s="29"/>
      <c r="E159" s="29"/>
      <c r="F159" s="29"/>
      <c r="G159" s="29"/>
      <c r="H159" s="3"/>
    </row>
    <row r="160" ht="20.25" customHeight="1">
      <c r="A160" s="3"/>
      <c r="B160" s="29"/>
      <c r="C160" s="29"/>
      <c r="D160" s="29"/>
      <c r="E160" s="29"/>
      <c r="F160" s="29"/>
      <c r="G160" s="29"/>
      <c r="H160" s="3"/>
    </row>
    <row r="161" ht="20.25" customHeight="1">
      <c r="A161" s="3"/>
      <c r="B161" s="29"/>
      <c r="C161" s="29"/>
      <c r="D161" s="29"/>
      <c r="E161" s="29"/>
      <c r="F161" s="29"/>
      <c r="G161" s="29"/>
      <c r="H161" s="3"/>
    </row>
    <row r="166" ht="21.0" customHeight="1">
      <c r="A166" s="80" t="s">
        <v>211</v>
      </c>
    </row>
    <row r="167" ht="21.0" customHeight="1">
      <c r="A167" s="81" t="s">
        <v>212</v>
      </c>
      <c r="B167" s="82">
        <v>0.1</v>
      </c>
      <c r="C167" s="82">
        <v>0.26</v>
      </c>
      <c r="D167" s="82">
        <v>0.24</v>
      </c>
      <c r="E167" s="82">
        <v>0.18</v>
      </c>
      <c r="F167" s="82">
        <v>0.13</v>
      </c>
      <c r="G167" s="82">
        <v>0.09</v>
      </c>
      <c r="H167" s="81" t="s">
        <v>213</v>
      </c>
    </row>
    <row r="168" ht="39.0" customHeight="1">
      <c r="A168" s="81" t="s">
        <v>214</v>
      </c>
      <c r="B168" s="82">
        <v>0.15</v>
      </c>
      <c r="C168" s="81" t="s">
        <v>215</v>
      </c>
      <c r="H168" s="83"/>
    </row>
    <row r="169" ht="39.0" customHeight="1">
      <c r="A169" s="81" t="s">
        <v>216</v>
      </c>
      <c r="B169" s="82">
        <v>0.51</v>
      </c>
      <c r="C169" s="81" t="s">
        <v>217</v>
      </c>
      <c r="H169" s="83"/>
    </row>
    <row r="170" ht="39.0" customHeight="1">
      <c r="A170" s="84" t="s">
        <v>218</v>
      </c>
      <c r="B170" s="82">
        <v>0.6</v>
      </c>
      <c r="C170" s="84" t="s">
        <v>219</v>
      </c>
      <c r="H170" s="83"/>
    </row>
    <row r="171" ht="39.0" customHeight="1">
      <c r="A171" s="81" t="s">
        <v>220</v>
      </c>
      <c r="B171" s="82">
        <v>0.15</v>
      </c>
      <c r="C171" s="81" t="s">
        <v>221</v>
      </c>
      <c r="H171" s="83"/>
    </row>
    <row r="172" ht="39.0" customHeight="1">
      <c r="A172" s="85" t="s">
        <v>222</v>
      </c>
      <c r="B172" s="86">
        <f t="array" ref="B172">INDEX(B173:B175,MATCH($B$3,$A173:$A175,0))</f>
        <v>0.2</v>
      </c>
      <c r="C172" s="85" t="s">
        <v>223</v>
      </c>
      <c r="H172" s="83"/>
    </row>
    <row r="173" ht="21.0" customHeight="1">
      <c r="A173" s="81" t="s">
        <v>128</v>
      </c>
      <c r="B173" s="82">
        <v>0.2</v>
      </c>
      <c r="C173" s="83"/>
      <c r="D173" s="83"/>
      <c r="E173" s="83"/>
      <c r="F173" s="83"/>
      <c r="G173" s="83"/>
      <c r="H173" s="83"/>
    </row>
    <row r="174" ht="21.0" customHeight="1">
      <c r="A174" s="81" t="s">
        <v>134</v>
      </c>
      <c r="B174" s="82">
        <v>0.2</v>
      </c>
      <c r="C174" s="83"/>
      <c r="D174" s="83"/>
      <c r="E174" s="83"/>
      <c r="F174" s="83"/>
      <c r="G174" s="83"/>
      <c r="H174" s="83"/>
    </row>
    <row r="175" ht="21.0" customHeight="1">
      <c r="A175" s="81" t="s">
        <v>135</v>
      </c>
      <c r="B175" s="82">
        <v>0.2</v>
      </c>
      <c r="C175" s="83"/>
      <c r="D175" s="83"/>
      <c r="E175" s="83"/>
      <c r="F175" s="83"/>
      <c r="G175" s="83"/>
      <c r="H175" s="83"/>
    </row>
    <row r="176" ht="21.0" customHeight="1">
      <c r="A176" s="83"/>
      <c r="B176" s="87"/>
      <c r="C176" s="83"/>
      <c r="D176" s="83"/>
      <c r="E176" s="83"/>
      <c r="F176" s="83"/>
      <c r="G176" s="83"/>
      <c r="H176" s="83"/>
    </row>
    <row r="177" ht="39.0" customHeight="1">
      <c r="A177" s="85" t="s">
        <v>224</v>
      </c>
      <c r="B177" s="86">
        <f t="array" ref="B177">INDEX(B178:B180,MATCH($B$3,$A178:$A180,0))</f>
        <v>0.05</v>
      </c>
      <c r="C177" s="85" t="s">
        <v>225</v>
      </c>
      <c r="H177" s="83"/>
    </row>
    <row r="178" ht="21.0" customHeight="1">
      <c r="A178" s="81" t="s">
        <v>128</v>
      </c>
      <c r="B178" s="82">
        <v>0.05</v>
      </c>
      <c r="C178" s="83"/>
      <c r="D178" s="83"/>
      <c r="E178" s="83"/>
      <c r="F178" s="83"/>
      <c r="G178" s="83"/>
      <c r="H178" s="83"/>
    </row>
    <row r="179" ht="21.0" customHeight="1">
      <c r="A179" s="81" t="s">
        <v>134</v>
      </c>
      <c r="B179" s="82">
        <v>0.0</v>
      </c>
      <c r="C179" s="83"/>
      <c r="D179" s="83"/>
      <c r="E179" s="83"/>
      <c r="F179" s="83"/>
      <c r="G179" s="83"/>
      <c r="H179" s="83"/>
    </row>
    <row r="180" ht="21.0" customHeight="1">
      <c r="A180" s="81" t="s">
        <v>135</v>
      </c>
      <c r="B180" s="82">
        <v>0.25</v>
      </c>
      <c r="C180" s="83"/>
      <c r="D180" s="83"/>
      <c r="E180" s="83"/>
      <c r="F180" s="83"/>
      <c r="G180" s="83"/>
      <c r="H180" s="83"/>
    </row>
    <row r="181" ht="21.0" customHeight="1">
      <c r="A181" s="83"/>
      <c r="B181" s="87"/>
      <c r="C181" s="83"/>
      <c r="D181" s="83"/>
      <c r="E181" s="83"/>
      <c r="F181" s="83"/>
      <c r="G181" s="83"/>
      <c r="H181" s="83"/>
    </row>
    <row r="182" ht="39.0" customHeight="1">
      <c r="A182" s="85" t="s">
        <v>226</v>
      </c>
      <c r="B182" s="86">
        <f t="array" ref="B182">INDEX(B183:B185,MATCH($B$3,$A183:$A185,0))</f>
        <v>0.1</v>
      </c>
      <c r="C182" s="85" t="s">
        <v>227</v>
      </c>
      <c r="H182" s="83"/>
    </row>
    <row r="183" ht="21.0" customHeight="1">
      <c r="A183" s="81" t="s">
        <v>128</v>
      </c>
      <c r="B183" s="82">
        <v>0.1</v>
      </c>
      <c r="C183" s="83"/>
      <c r="D183" s="83"/>
      <c r="E183" s="83"/>
      <c r="F183" s="83"/>
      <c r="G183" s="83"/>
      <c r="H183" s="83"/>
    </row>
    <row r="184" ht="21.0" customHeight="1">
      <c r="A184" s="81" t="s">
        <v>134</v>
      </c>
      <c r="B184" s="82">
        <v>0.0</v>
      </c>
      <c r="C184" s="83"/>
      <c r="D184" s="83"/>
      <c r="E184" s="83"/>
      <c r="F184" s="83"/>
      <c r="G184" s="83"/>
      <c r="H184" s="83"/>
    </row>
    <row r="185" ht="21.0" customHeight="1">
      <c r="A185" s="81" t="s">
        <v>135</v>
      </c>
      <c r="B185" s="82">
        <v>0.35</v>
      </c>
      <c r="C185" s="83"/>
      <c r="D185" s="83"/>
      <c r="E185" s="83"/>
      <c r="F185" s="83"/>
      <c r="G185" s="83"/>
      <c r="H185" s="83"/>
    </row>
    <row r="186" ht="21.0" customHeight="1">
      <c r="A186" s="83"/>
      <c r="B186" s="87"/>
      <c r="C186" s="83"/>
      <c r="D186" s="83"/>
      <c r="E186" s="83"/>
      <c r="F186" s="83"/>
      <c r="G186" s="83"/>
      <c r="H186" s="83"/>
    </row>
    <row r="187" ht="39.0" customHeight="1">
      <c r="A187" s="85" t="s">
        <v>228</v>
      </c>
      <c r="B187" s="86">
        <f t="array" ref="B187">INDEX(B188:B190,MATCH($B$3,$A188:$A190,0))</f>
        <v>0.5</v>
      </c>
      <c r="C187" s="85" t="s">
        <v>229</v>
      </c>
      <c r="H187" s="83"/>
    </row>
    <row r="188" ht="21.0" customHeight="1">
      <c r="A188" s="81" t="s">
        <v>128</v>
      </c>
      <c r="B188" s="82">
        <v>0.5</v>
      </c>
      <c r="C188" s="83"/>
      <c r="D188" s="83"/>
      <c r="E188" s="83"/>
      <c r="F188" s="83"/>
      <c r="G188" s="83"/>
      <c r="H188" s="83"/>
    </row>
    <row r="189" ht="21.0" customHeight="1">
      <c r="A189" s="81" t="s">
        <v>134</v>
      </c>
      <c r="B189" s="82">
        <v>0.5</v>
      </c>
      <c r="C189" s="83"/>
      <c r="D189" s="83"/>
      <c r="E189" s="83"/>
      <c r="F189" s="83"/>
      <c r="G189" s="83"/>
      <c r="H189" s="83"/>
    </row>
    <row r="190" ht="21.0" customHeight="1">
      <c r="A190" s="81" t="s">
        <v>135</v>
      </c>
      <c r="B190" s="82">
        <v>0.5</v>
      </c>
      <c r="C190" s="83"/>
      <c r="D190" s="83"/>
      <c r="E190" s="83"/>
      <c r="F190" s="83"/>
      <c r="G190" s="83"/>
      <c r="H190" s="83"/>
    </row>
    <row r="191" ht="21.0" customHeight="1">
      <c r="A191" s="83"/>
      <c r="B191" s="87"/>
      <c r="C191" s="83"/>
      <c r="D191" s="83"/>
      <c r="E191" s="83"/>
      <c r="F191" s="83"/>
      <c r="G191" s="83"/>
      <c r="H191" s="83"/>
    </row>
    <row r="192" ht="39.0" customHeight="1">
      <c r="A192" s="85" t="s">
        <v>230</v>
      </c>
      <c r="B192" s="86">
        <f t="array" ref="B192">INDEX(B193:B195,MATCH($B$3,$A193:$A195,0))</f>
        <v>0.12</v>
      </c>
      <c r="C192" s="85" t="s">
        <v>231</v>
      </c>
      <c r="H192" s="83"/>
    </row>
    <row r="193" ht="21.0" customHeight="1">
      <c r="A193" s="81" t="s">
        <v>128</v>
      </c>
      <c r="B193" s="82">
        <v>0.12</v>
      </c>
      <c r="C193" s="83"/>
      <c r="D193" s="83"/>
      <c r="E193" s="83"/>
      <c r="F193" s="83"/>
      <c r="G193" s="83"/>
      <c r="H193" s="83"/>
    </row>
    <row r="194" ht="21.0" customHeight="1">
      <c r="A194" s="81" t="s">
        <v>134</v>
      </c>
      <c r="B194" s="82">
        <v>0.16</v>
      </c>
      <c r="C194" s="83"/>
      <c r="D194" s="83"/>
      <c r="E194" s="83"/>
      <c r="F194" s="83"/>
      <c r="G194" s="83"/>
      <c r="H194" s="83"/>
    </row>
    <row r="195" ht="21.0" customHeight="1">
      <c r="A195" s="81" t="s">
        <v>135</v>
      </c>
      <c r="B195" s="88">
        <f>'Discount rate'!B45</f>
        <v>0.09383060741</v>
      </c>
      <c r="C195" s="83"/>
      <c r="D195" s="83"/>
      <c r="E195" s="83"/>
      <c r="F195" s="83"/>
      <c r="G195" s="83"/>
      <c r="H195" s="83"/>
    </row>
    <row r="196" ht="21.0" customHeight="1">
      <c r="A196" s="83"/>
      <c r="B196" s="87"/>
      <c r="C196" s="83"/>
      <c r="D196" s="83"/>
      <c r="E196" s="83"/>
      <c r="F196" s="83"/>
      <c r="G196" s="83"/>
      <c r="H196" s="83"/>
    </row>
    <row r="197" ht="39.0" customHeight="1">
      <c r="A197" s="85" t="s">
        <v>232</v>
      </c>
      <c r="B197" s="86">
        <f t="array" ref="B197">INDEX(B198:B200,MATCH($B$3,$A198:$A200,0))</f>
        <v>0.03</v>
      </c>
      <c r="C197" s="85" t="s">
        <v>233</v>
      </c>
      <c r="H197" s="83"/>
    </row>
    <row r="198" ht="21.0" customHeight="1">
      <c r="A198" s="81" t="s">
        <v>128</v>
      </c>
      <c r="B198" s="82">
        <v>0.03</v>
      </c>
      <c r="C198" s="83"/>
      <c r="D198" s="83"/>
      <c r="E198" s="83"/>
      <c r="F198" s="83"/>
      <c r="G198" s="83"/>
      <c r="H198" s="83"/>
    </row>
    <row r="199" ht="21.0" customHeight="1">
      <c r="A199" s="81" t="s">
        <v>134</v>
      </c>
      <c r="B199" s="82">
        <v>0.035</v>
      </c>
      <c r="C199" s="83"/>
      <c r="D199" s="83"/>
      <c r="E199" s="83"/>
      <c r="F199" s="83"/>
      <c r="G199" s="83"/>
      <c r="H199" s="83"/>
    </row>
    <row r="200" ht="21.0" customHeight="1">
      <c r="A200" s="81" t="s">
        <v>135</v>
      </c>
      <c r="B200" s="82">
        <v>0.02</v>
      </c>
      <c r="C200" s="83"/>
      <c r="D200" s="83"/>
      <c r="E200" s="83"/>
      <c r="F200" s="83"/>
      <c r="G200" s="83"/>
      <c r="H200" s="83"/>
    </row>
    <row r="201" ht="21.0" customHeight="1">
      <c r="A201" s="83"/>
      <c r="B201" s="87"/>
      <c r="C201" s="83"/>
      <c r="D201" s="83"/>
      <c r="E201" s="83"/>
      <c r="F201" s="83"/>
      <c r="G201" s="83"/>
      <c r="H201" s="83"/>
    </row>
    <row r="202" ht="39.0" customHeight="1">
      <c r="A202" s="85" t="s">
        <v>234</v>
      </c>
      <c r="B202" s="86">
        <f t="array" ref="B202">INDEX(B203:B205,MATCH($B$3,$A203:$A205,0))</f>
        <v>0.05</v>
      </c>
      <c r="C202" s="85" t="s">
        <v>235</v>
      </c>
      <c r="H202" s="83"/>
    </row>
    <row r="203" ht="21.0" customHeight="1">
      <c r="A203" s="81" t="s">
        <v>128</v>
      </c>
      <c r="B203" s="82">
        <v>0.05</v>
      </c>
      <c r="C203" s="83"/>
      <c r="D203" s="83"/>
      <c r="E203" s="83"/>
      <c r="F203" s="83"/>
      <c r="G203" s="83"/>
      <c r="H203" s="83"/>
    </row>
    <row r="204" ht="21.0" customHeight="1">
      <c r="A204" s="81" t="s">
        <v>134</v>
      </c>
      <c r="B204" s="82">
        <v>0.0</v>
      </c>
      <c r="C204" s="83"/>
      <c r="D204" s="83"/>
      <c r="E204" s="83"/>
      <c r="F204" s="83"/>
      <c r="G204" s="83"/>
      <c r="H204" s="83"/>
    </row>
    <row r="205" ht="21.0" customHeight="1">
      <c r="A205" s="81" t="s">
        <v>135</v>
      </c>
      <c r="B205" s="82">
        <v>0.2</v>
      </c>
      <c r="C205" s="83"/>
      <c r="D205" s="83"/>
      <c r="E205" s="83"/>
      <c r="F205" s="83"/>
      <c r="G205" s="83"/>
      <c r="H205" s="83"/>
    </row>
    <row r="206" ht="21.0" customHeight="1">
      <c r="A206" s="83"/>
      <c r="B206" s="87"/>
      <c r="C206" s="83"/>
      <c r="D206" s="83"/>
      <c r="E206" s="83"/>
      <c r="F206" s="83"/>
      <c r="G206" s="83"/>
      <c r="H206" s="83"/>
    </row>
    <row r="207" ht="39.0" customHeight="1">
      <c r="A207" s="85" t="s">
        <v>236</v>
      </c>
      <c r="B207" s="86">
        <f t="array" ref="B207">INDEX(B208:B210,MATCH($B$3,$A208:$A210,0))</f>
        <v>0.15</v>
      </c>
      <c r="C207" s="85" t="s">
        <v>237</v>
      </c>
      <c r="H207" s="83"/>
    </row>
    <row r="208" ht="21.0" customHeight="1">
      <c r="A208" s="81" t="s">
        <v>128</v>
      </c>
      <c r="B208" s="82">
        <v>0.15</v>
      </c>
      <c r="C208" s="83"/>
      <c r="D208" s="83"/>
      <c r="E208" s="83"/>
      <c r="F208" s="83"/>
      <c r="G208" s="83"/>
      <c r="H208" s="83"/>
    </row>
    <row r="209" ht="21.0" customHeight="1">
      <c r="A209" s="81" t="s">
        <v>134</v>
      </c>
      <c r="B209" s="82">
        <v>0.25</v>
      </c>
      <c r="C209" s="83"/>
      <c r="D209" s="83"/>
      <c r="E209" s="83"/>
      <c r="F209" s="83"/>
      <c r="G209" s="83"/>
      <c r="H209" s="83"/>
    </row>
    <row r="210" ht="21.0" customHeight="1">
      <c r="A210" s="81" t="s">
        <v>135</v>
      </c>
      <c r="B210" s="82">
        <v>0.08</v>
      </c>
      <c r="C210" s="83"/>
      <c r="D210" s="83"/>
      <c r="E210" s="83"/>
      <c r="F210" s="83"/>
      <c r="G210" s="83"/>
      <c r="H210" s="83"/>
    </row>
    <row r="211" ht="21.0" customHeight="1">
      <c r="A211" s="83"/>
      <c r="B211" s="87"/>
      <c r="C211" s="83"/>
      <c r="D211" s="83"/>
      <c r="E211" s="83"/>
      <c r="F211" s="83"/>
      <c r="G211" s="83"/>
      <c r="H211" s="83"/>
    </row>
    <row r="212" ht="39.0" customHeight="1">
      <c r="A212" s="85" t="s">
        <v>238</v>
      </c>
      <c r="B212" s="86">
        <f t="array" ref="B212">INDEX(B213:B215,MATCH($B$3,$A213:$A215,0))</f>
        <v>0.12</v>
      </c>
      <c r="C212" s="85" t="s">
        <v>239</v>
      </c>
      <c r="H212" s="83"/>
    </row>
    <row r="213" ht="21.0" customHeight="1">
      <c r="A213" s="81" t="s">
        <v>128</v>
      </c>
      <c r="B213" s="82">
        <v>0.12</v>
      </c>
      <c r="C213" s="83"/>
      <c r="D213" s="83"/>
      <c r="E213" s="83"/>
      <c r="F213" s="83"/>
      <c r="G213" s="83"/>
      <c r="H213" s="83"/>
    </row>
    <row r="214" ht="21.0" customHeight="1">
      <c r="A214" s="81" t="s">
        <v>134</v>
      </c>
      <c r="B214" s="82">
        <v>0.15</v>
      </c>
      <c r="C214" s="83"/>
      <c r="D214" s="83"/>
      <c r="E214" s="83"/>
      <c r="F214" s="83"/>
      <c r="G214" s="83"/>
      <c r="H214" s="83"/>
    </row>
    <row r="215" ht="21.0" customHeight="1">
      <c r="A215" s="81" t="s">
        <v>135</v>
      </c>
      <c r="B215" s="82">
        <v>0.2</v>
      </c>
      <c r="C215" s="83"/>
      <c r="D215" s="83"/>
      <c r="E215" s="83"/>
      <c r="F215" s="83"/>
      <c r="G215" s="83"/>
      <c r="H215" s="83"/>
    </row>
    <row r="216" ht="21.0" customHeight="1">
      <c r="A216" s="83"/>
      <c r="B216" s="87"/>
      <c r="C216" s="83"/>
      <c r="D216" s="83"/>
      <c r="E216" s="83"/>
      <c r="F216" s="83"/>
      <c r="G216" s="83"/>
      <c r="H216" s="83"/>
    </row>
    <row r="217" ht="39.0" customHeight="1">
      <c r="A217" s="81" t="s">
        <v>240</v>
      </c>
      <c r="B217" s="82">
        <v>0.05</v>
      </c>
      <c r="C217" s="81" t="s">
        <v>241</v>
      </c>
      <c r="H217" s="83"/>
    </row>
    <row r="218" ht="21.0" customHeight="1">
      <c r="A218" s="83"/>
      <c r="B218" s="87"/>
      <c r="C218" s="83"/>
      <c r="D218" s="83"/>
      <c r="E218" s="83"/>
      <c r="F218" s="83"/>
      <c r="G218" s="83"/>
      <c r="H218" s="83"/>
    </row>
    <row r="219" ht="21.0" customHeight="1">
      <c r="A219" s="83"/>
      <c r="B219" s="87"/>
      <c r="C219" s="83"/>
      <c r="D219" s="83"/>
      <c r="E219" s="83"/>
      <c r="F219" s="83"/>
      <c r="G219" s="83"/>
      <c r="H219" s="83"/>
    </row>
    <row r="220" ht="39.0" customHeight="1">
      <c r="A220" s="81" t="s">
        <v>242</v>
      </c>
      <c r="B220" s="82">
        <v>0.8</v>
      </c>
      <c r="C220" s="81" t="s">
        <v>243</v>
      </c>
      <c r="H220" s="83"/>
    </row>
    <row r="221" ht="39.0" customHeight="1">
      <c r="A221" s="81" t="s">
        <v>244</v>
      </c>
      <c r="B221" s="82">
        <v>0.03</v>
      </c>
      <c r="C221" s="81" t="s">
        <v>245</v>
      </c>
      <c r="H221" s="83"/>
    </row>
    <row r="222" ht="39.0" customHeight="1">
      <c r="A222" s="85" t="s">
        <v>246</v>
      </c>
      <c r="B222" s="86">
        <f t="array" ref="B222">INDEX(B223:B225,MATCH($B$3,$A223:$A225,0))</f>
        <v>0.1</v>
      </c>
      <c r="C222" s="85" t="s">
        <v>247</v>
      </c>
      <c r="H222" s="83"/>
    </row>
    <row r="223" ht="21.0" customHeight="1">
      <c r="A223" s="81" t="s">
        <v>128</v>
      </c>
      <c r="B223" s="82">
        <v>0.1</v>
      </c>
      <c r="C223" s="83"/>
      <c r="D223" s="83"/>
      <c r="E223" s="83"/>
      <c r="F223" s="83"/>
      <c r="G223" s="83"/>
      <c r="H223" s="83"/>
    </row>
    <row r="224" ht="21.0" customHeight="1">
      <c r="A224" s="81" t="s">
        <v>134</v>
      </c>
      <c r="B224" s="82">
        <v>0.05</v>
      </c>
      <c r="C224" s="83"/>
      <c r="D224" s="83"/>
      <c r="E224" s="83"/>
      <c r="F224" s="83"/>
      <c r="G224" s="83"/>
      <c r="H224" s="83"/>
    </row>
    <row r="225" ht="21.0" customHeight="1">
      <c r="A225" s="81" t="s">
        <v>135</v>
      </c>
      <c r="B225" s="82">
        <v>0.2</v>
      </c>
      <c r="C225" s="83"/>
      <c r="D225" s="83"/>
      <c r="E225" s="83"/>
      <c r="F225" s="83"/>
      <c r="G225" s="83"/>
      <c r="H225" s="83"/>
    </row>
    <row r="226" ht="21.0" customHeight="1">
      <c r="A226" s="83"/>
      <c r="B226" s="87"/>
      <c r="C226" s="83"/>
      <c r="D226" s="83"/>
      <c r="E226" s="83"/>
      <c r="F226" s="83"/>
      <c r="G226" s="83"/>
      <c r="H226" s="83"/>
    </row>
    <row r="227" ht="39.0" customHeight="1">
      <c r="A227" s="81" t="s">
        <v>248</v>
      </c>
      <c r="B227" s="82">
        <v>0.4</v>
      </c>
      <c r="C227" s="81" t="s">
        <v>249</v>
      </c>
      <c r="H227" s="83"/>
    </row>
    <row r="228" ht="21.0" customHeight="1">
      <c r="A228" s="83"/>
      <c r="B228" s="87"/>
      <c r="C228" s="83"/>
      <c r="D228" s="83"/>
      <c r="E228" s="83"/>
      <c r="F228" s="83"/>
      <c r="G228" s="83"/>
      <c r="H228" s="83"/>
    </row>
    <row r="229" ht="39.0" customHeight="1">
      <c r="A229" s="85" t="s">
        <v>250</v>
      </c>
      <c r="B229" s="86">
        <f t="array" ref="B229">INDEX(B230:B232,MATCH($B$3,$A230:$A232,0))</f>
        <v>0.5</v>
      </c>
      <c r="C229" s="85" t="s">
        <v>251</v>
      </c>
      <c r="H229" s="83"/>
    </row>
    <row r="230" ht="21.0" customHeight="1">
      <c r="A230" s="81" t="s">
        <v>128</v>
      </c>
      <c r="B230" s="82">
        <v>0.5</v>
      </c>
      <c r="C230" s="83"/>
      <c r="D230" s="83"/>
      <c r="E230" s="83"/>
      <c r="F230" s="83"/>
      <c r="G230" s="83"/>
      <c r="H230" s="83"/>
    </row>
    <row r="231" ht="21.0" customHeight="1">
      <c r="A231" s="81" t="s">
        <v>134</v>
      </c>
      <c r="B231" s="82">
        <v>1.0</v>
      </c>
      <c r="C231" s="83"/>
      <c r="D231" s="83"/>
      <c r="E231" s="83"/>
      <c r="F231" s="83"/>
      <c r="G231" s="83"/>
      <c r="H231" s="83"/>
    </row>
    <row r="232" ht="21.0" customHeight="1">
      <c r="A232" s="81" t="s">
        <v>135</v>
      </c>
      <c r="B232" s="82">
        <v>0.25</v>
      </c>
      <c r="C232" s="83"/>
      <c r="D232" s="83"/>
      <c r="E232" s="83"/>
      <c r="F232" s="83"/>
      <c r="G232" s="83"/>
      <c r="H232" s="83"/>
    </row>
    <row r="234">
      <c r="A234" s="89" t="s">
        <v>252</v>
      </c>
      <c r="B234" s="90">
        <v>0.3945</v>
      </c>
      <c r="C234" s="90">
        <v>0.4772</v>
      </c>
      <c r="D234" s="90">
        <v>0.5772</v>
      </c>
      <c r="E234" s="90">
        <v>0.6496</v>
      </c>
      <c r="F234" s="90">
        <v>0.7047</v>
      </c>
      <c r="G234" s="90">
        <v>0.736</v>
      </c>
      <c r="H234" s="89" t="s">
        <v>253</v>
      </c>
    </row>
    <row r="236">
      <c r="A236" s="7" t="s">
        <v>254</v>
      </c>
      <c r="B236" s="10"/>
      <c r="C236" s="10"/>
    </row>
    <row r="237">
      <c r="A237" s="7" t="s">
        <v>255</v>
      </c>
      <c r="B237" s="91">
        <f>MAX(0,'Sources and basis'!B56-B94)</f>
        <v>2495</v>
      </c>
      <c r="C237" s="7" t="s">
        <v>256</v>
      </c>
    </row>
    <row r="238">
      <c r="A238" s="7" t="s">
        <v>257</v>
      </c>
      <c r="B238" s="92">
        <v>5.0</v>
      </c>
      <c r="C238" s="7" t="s">
        <v>258</v>
      </c>
    </row>
    <row r="239">
      <c r="A239" s="7" t="s">
        <v>259</v>
      </c>
      <c r="B239" s="93">
        <v>0.0</v>
      </c>
      <c r="C239" s="7" t="s">
        <v>260</v>
      </c>
    </row>
  </sheetData>
  <mergeCells count="41">
    <mergeCell ref="A1:H1"/>
    <mergeCell ref="A2:H2"/>
    <mergeCell ref="C88:H88"/>
    <mergeCell ref="C89:H89"/>
    <mergeCell ref="C90:H90"/>
    <mergeCell ref="C91:H91"/>
    <mergeCell ref="C92:H92"/>
    <mergeCell ref="C93:H93"/>
    <mergeCell ref="C94:H94"/>
    <mergeCell ref="C95:H95"/>
    <mergeCell ref="C96:H96"/>
    <mergeCell ref="A98:H98"/>
    <mergeCell ref="A99:H99"/>
    <mergeCell ref="C146:H146"/>
    <mergeCell ref="C147:H147"/>
    <mergeCell ref="C148:H148"/>
    <mergeCell ref="C149:H149"/>
    <mergeCell ref="A166:H166"/>
    <mergeCell ref="C168:G168"/>
    <mergeCell ref="C169:G169"/>
    <mergeCell ref="C170:G170"/>
    <mergeCell ref="C171:G171"/>
    <mergeCell ref="C172:G172"/>
    <mergeCell ref="C177:G177"/>
    <mergeCell ref="C182:G182"/>
    <mergeCell ref="C187:G187"/>
    <mergeCell ref="C192:G192"/>
    <mergeCell ref="C197:G197"/>
    <mergeCell ref="C227:G227"/>
    <mergeCell ref="C229:G229"/>
    <mergeCell ref="C236:H236"/>
    <mergeCell ref="C237:H237"/>
    <mergeCell ref="C238:H238"/>
    <mergeCell ref="C239:H239"/>
    <mergeCell ref="C202:G202"/>
    <mergeCell ref="C207:G207"/>
    <mergeCell ref="C212:G212"/>
    <mergeCell ref="C217:G217"/>
    <mergeCell ref="C220:G220"/>
    <mergeCell ref="C221:G221"/>
    <mergeCell ref="C222:G222"/>
  </mergeCells>
  <dataValidations>
    <dataValidation type="decimal" operator="equal" allowBlank="1" showDropDown="1" showInputMessage="1" showErrorMessage="1" prompt="This schedule contains five transition years; extend the schedule before changing its duration." sqref="B147">
      <formula1>5.0</formula1>
    </dataValidation>
    <dataValidation type="decimal" allowBlank="1" showInputMessage="1" showErrorMessage="1" prompt="Enter a percentage between 0% and 100%." sqref="B167:G167 B168:B171 B173:B175 B178:B180 B183:B185 B188:B190 B193:B194 B198:B200 B203:B205 B208:B210 B213:B215 B217 B220:B221 B223:B225 B227 B230:B232">
      <formula1>0.0</formula1>
      <formula2>1.0</formula2>
    </dataValidation>
    <dataValidation type="decimal" allowBlank="1" showDropDown="1" showInputMessage="1" showErrorMessage="1" prompt="0 = no deduction; 1 = full book-amortisation deduction sensitivity." sqref="B239">
      <formula1>0.0</formula1>
      <formula2>1.0</formula2>
    </dataValidation>
    <dataValidation type="list" allowBlank="1" showErrorMessage="1" sqref="B3">
      <formula1>"Base,Bull,Bear"</formula1>
    </dataValidation>
    <dataValidation type="decimal" allowBlank="1" showDropDown="1" showInputMessage="1" showErrorMessage="1" prompt="Allocate the residual across 1–5 years from 2032; terminal begins 2037." sqref="B238">
      <formula1>1.0</formula1>
      <formula2>5.0</formula2>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63"/>
    <col customWidth="1" min="2" max="4" width="15.75"/>
    <col customWidth="1" min="5" max="5" width="41.38"/>
  </cols>
  <sheetData>
    <row r="1" ht="28.5" customHeight="1">
      <c r="A1" s="94" t="s">
        <v>261</v>
      </c>
    </row>
    <row r="2" ht="39.0" customHeight="1">
      <c r="A2" s="95" t="s">
        <v>262</v>
      </c>
    </row>
    <row r="3" ht="24.0" customHeight="1">
      <c r="A3" s="96" t="s">
        <v>263</v>
      </c>
      <c r="B3" s="96" t="str">
        <f>Assumptions!B3</f>
        <v>Base</v>
      </c>
      <c r="C3" s="96"/>
      <c r="D3" s="96"/>
      <c r="E3" s="96"/>
    </row>
    <row r="4" ht="24.0" customHeight="1">
      <c r="A4" s="96" t="s">
        <v>3</v>
      </c>
      <c r="B4" s="97">
        <f>Assumptions!B4</f>
        <v>46320</v>
      </c>
      <c r="C4" s="96"/>
      <c r="D4" s="96"/>
      <c r="E4" s="96"/>
    </row>
    <row r="5" ht="24.0" customHeight="1">
      <c r="A5" s="96"/>
      <c r="B5" s="96"/>
      <c r="C5" s="96"/>
      <c r="D5" s="96"/>
      <c r="E5" s="96"/>
    </row>
    <row r="6" ht="31.5" customHeight="1">
      <c r="A6" s="47" t="s">
        <v>264</v>
      </c>
      <c r="B6" s="47" t="s">
        <v>168</v>
      </c>
      <c r="C6" s="47" t="s">
        <v>265</v>
      </c>
      <c r="D6" s="47"/>
      <c r="E6" s="47"/>
    </row>
    <row r="7" ht="49.5" customHeight="1">
      <c r="A7" s="96" t="s">
        <v>266</v>
      </c>
      <c r="B7" s="98">
        <v>3916000.0</v>
      </c>
      <c r="C7" s="95" t="s">
        <v>267</v>
      </c>
    </row>
    <row r="8" ht="36.0" customHeight="1">
      <c r="A8" s="96" t="s">
        <v>268</v>
      </c>
      <c r="B8" s="99">
        <f>'Sources and basis'!B89</f>
        <v>0.05</v>
      </c>
      <c r="C8" s="95" t="s">
        <v>269</v>
      </c>
    </row>
    <row r="9" ht="49.5" customHeight="1">
      <c r="A9" s="96" t="s">
        <v>270</v>
      </c>
      <c r="B9" s="100">
        <v>0.042</v>
      </c>
      <c r="C9" s="95" t="s">
        <v>271</v>
      </c>
    </row>
    <row r="10" ht="24.0" customHeight="1">
      <c r="A10" s="96"/>
      <c r="B10" s="101"/>
      <c r="C10" s="96"/>
      <c r="D10" s="96"/>
      <c r="E10" s="96"/>
    </row>
    <row r="11" ht="49.5" customHeight="1">
      <c r="A11" s="102" t="s">
        <v>272</v>
      </c>
      <c r="B11" s="102" t="s">
        <v>273</v>
      </c>
      <c r="C11" s="102" t="s">
        <v>274</v>
      </c>
      <c r="D11" s="102" t="s">
        <v>275</v>
      </c>
      <c r="E11" s="102" t="s">
        <v>6</v>
      </c>
    </row>
    <row r="12" ht="66.0" customHeight="1">
      <c r="A12" s="96" t="s">
        <v>276</v>
      </c>
      <c r="B12" s="101">
        <f>'Historical base'!F12</f>
        <v>367091</v>
      </c>
      <c r="C12" s="103">
        <f t="shared" ref="C12:C14" si="1">B12/SUM($B$12:$B$14)</f>
        <v>0.8226774089</v>
      </c>
      <c r="D12" s="104">
        <v>1.01</v>
      </c>
      <c r="E12" s="96" t="s">
        <v>277</v>
      </c>
    </row>
    <row r="13" ht="66.0" customHeight="1">
      <c r="A13" s="96" t="s">
        <v>278</v>
      </c>
      <c r="B13" s="101">
        <f>'Historical base'!F13</f>
        <v>77617</v>
      </c>
      <c r="C13" s="103">
        <f t="shared" si="1"/>
        <v>0.1739452954</v>
      </c>
      <c r="D13" s="104">
        <v>1.25</v>
      </c>
      <c r="E13" s="96" t="s">
        <v>279</v>
      </c>
    </row>
    <row r="14" ht="66.0" customHeight="1">
      <c r="A14" s="96" t="s">
        <v>280</v>
      </c>
      <c r="B14" s="101">
        <f>'Historical base'!F14</f>
        <v>1507</v>
      </c>
      <c r="C14" s="103">
        <f t="shared" si="1"/>
        <v>0.003377295698</v>
      </c>
      <c r="D14" s="104">
        <v>1.59</v>
      </c>
      <c r="E14" s="96" t="s">
        <v>281</v>
      </c>
    </row>
    <row r="15" ht="49.5" customHeight="1">
      <c r="A15" s="105" t="s">
        <v>282</v>
      </c>
      <c r="B15" s="106">
        <f>SUMPRODUCT(C12:C14,D12:D14)</f>
        <v>1.053705702</v>
      </c>
      <c r="C15" s="105" t="s">
        <v>283</v>
      </c>
    </row>
    <row r="16" ht="49.5" customHeight="1">
      <c r="A16" s="96" t="s">
        <v>284</v>
      </c>
      <c r="B16" s="104">
        <f>B15*(1+(1-Assumptions!$B$5)*(B22+B23)/B7)</f>
        <v>1.075850485</v>
      </c>
      <c r="C16" s="96" t="s">
        <v>285</v>
      </c>
    </row>
    <row r="17" ht="36.0" customHeight="1">
      <c r="A17" s="105" t="s">
        <v>286</v>
      </c>
      <c r="B17" s="107">
        <f>B8+B16*B9</f>
        <v>0.09518572036</v>
      </c>
      <c r="C17" s="105" t="s">
        <v>287</v>
      </c>
    </row>
    <row r="18" ht="24.0" customHeight="1">
      <c r="A18" s="96"/>
      <c r="B18" s="101"/>
      <c r="C18" s="96"/>
      <c r="D18" s="96"/>
      <c r="E18" s="96"/>
    </row>
    <row r="19" ht="31.5" customHeight="1">
      <c r="A19" s="47" t="s">
        <v>288</v>
      </c>
      <c r="B19" s="47" t="s">
        <v>85</v>
      </c>
      <c r="C19" s="47" t="s">
        <v>6</v>
      </c>
      <c r="D19" s="47"/>
      <c r="E19" s="47"/>
    </row>
    <row r="20" ht="36.0" customHeight="1">
      <c r="A20" s="96" t="s">
        <v>289</v>
      </c>
      <c r="B20" s="101">
        <v>94900.0</v>
      </c>
      <c r="C20" s="95" t="s">
        <v>290</v>
      </c>
    </row>
    <row r="21" ht="36.0" customHeight="1">
      <c r="A21" s="96" t="s">
        <v>291</v>
      </c>
      <c r="B21" s="101">
        <f>1686+'Financial assets'!B70</f>
        <v>6686</v>
      </c>
      <c r="C21" s="95" t="s">
        <v>292</v>
      </c>
    </row>
    <row r="22" ht="36.0" customHeight="1">
      <c r="A22" s="105" t="s">
        <v>293</v>
      </c>
      <c r="B22" s="108">
        <f>SUM(B20:B21)</f>
        <v>101586</v>
      </c>
      <c r="C22" s="105" t="s">
        <v>294</v>
      </c>
    </row>
    <row r="23" ht="36.0" customHeight="1">
      <c r="A23" s="96" t="s">
        <v>295</v>
      </c>
      <c r="B23" s="101">
        <f>'Sources and basis'!B55</f>
        <v>2590</v>
      </c>
      <c r="C23" s="96" t="s">
        <v>296</v>
      </c>
    </row>
    <row r="24" ht="24.0" customHeight="1">
      <c r="A24" s="96"/>
      <c r="B24" s="101"/>
      <c r="C24" s="96"/>
      <c r="D24" s="96"/>
      <c r="E24" s="96"/>
    </row>
    <row r="25" ht="31.5" customHeight="1">
      <c r="A25" s="47" t="s">
        <v>297</v>
      </c>
      <c r="B25" s="47" t="s">
        <v>168</v>
      </c>
      <c r="C25" s="47" t="s">
        <v>6</v>
      </c>
      <c r="D25" s="47"/>
      <c r="E25" s="47"/>
    </row>
    <row r="26" ht="36.0" customHeight="1">
      <c r="A26" s="96" t="s">
        <v>298</v>
      </c>
      <c r="B26" s="101">
        <f>'Historical base'!E24</f>
        <v>80466</v>
      </c>
      <c r="C26" s="96" t="s">
        <v>299</v>
      </c>
    </row>
    <row r="27" ht="36.0" customHeight="1">
      <c r="A27" s="96" t="s">
        <v>300</v>
      </c>
      <c r="B27" s="101">
        <f>1811+628</f>
        <v>2439</v>
      </c>
      <c r="C27" s="96" t="s">
        <v>301</v>
      </c>
    </row>
    <row r="28" ht="36.0" customHeight="1">
      <c r="A28" s="96" t="s">
        <v>302</v>
      </c>
      <c r="B28" s="104">
        <f>B26/B27</f>
        <v>32.99138991</v>
      </c>
      <c r="C28" s="96" t="s">
        <v>303</v>
      </c>
    </row>
    <row r="29" ht="49.5" customHeight="1">
      <c r="A29" s="96" t="s">
        <v>304</v>
      </c>
      <c r="B29" s="99">
        <v>0.004</v>
      </c>
      <c r="C29" s="95" t="s">
        <v>305</v>
      </c>
    </row>
    <row r="30" ht="36.0" customHeight="1">
      <c r="A30" s="105" t="s">
        <v>306</v>
      </c>
      <c r="B30" s="107">
        <f>B8+B29</f>
        <v>0.054</v>
      </c>
      <c r="C30" s="105" t="s">
        <v>307</v>
      </c>
    </row>
    <row r="31" ht="24.0" customHeight="1">
      <c r="A31" s="96"/>
      <c r="B31" s="101"/>
      <c r="C31" s="96"/>
      <c r="D31" s="96"/>
      <c r="E31" s="96"/>
    </row>
    <row r="32" ht="31.5" customHeight="1">
      <c r="A32" s="47" t="s">
        <v>308</v>
      </c>
      <c r="B32" s="47" t="s">
        <v>168</v>
      </c>
      <c r="C32" s="47" t="s">
        <v>6</v>
      </c>
      <c r="D32" s="47"/>
      <c r="E32" s="47"/>
    </row>
    <row r="33" ht="36.0" customHeight="1">
      <c r="A33" s="96" t="s">
        <v>309</v>
      </c>
      <c r="B33" s="101">
        <v>385.0</v>
      </c>
      <c r="C33" s="96" t="s">
        <v>310</v>
      </c>
    </row>
    <row r="34" ht="36.0" customHeight="1">
      <c r="A34" s="96" t="s">
        <v>311</v>
      </c>
      <c r="B34" s="109">
        <v>46.32</v>
      </c>
      <c r="C34" s="95" t="s">
        <v>312</v>
      </c>
    </row>
    <row r="35" ht="36.0" customHeight="1">
      <c r="A35" s="96" t="s">
        <v>313</v>
      </c>
      <c r="B35" s="109">
        <v>46.17</v>
      </c>
      <c r="C35" s="95" t="s">
        <v>314</v>
      </c>
    </row>
    <row r="36" ht="36.0" customHeight="1">
      <c r="A36" s="105" t="s">
        <v>21</v>
      </c>
      <c r="B36" s="108">
        <f>B33/2*(B34+B35)</f>
        <v>17804.325</v>
      </c>
      <c r="C36" s="105" t="s">
        <v>315</v>
      </c>
    </row>
    <row r="37" ht="49.5" customHeight="1">
      <c r="A37" s="96" t="s">
        <v>316</v>
      </c>
      <c r="B37" s="99">
        <f>B17</f>
        <v>0.09518572036</v>
      </c>
      <c r="C37" s="96" t="s">
        <v>317</v>
      </c>
    </row>
    <row r="38" ht="49.5" customHeight="1">
      <c r="A38" s="96" t="s">
        <v>318</v>
      </c>
      <c r="B38" s="99">
        <f>B36/(B7+B22+B23+B36)*(B37-B30)</f>
        <v>0.0001815967121</v>
      </c>
      <c r="C38" s="96" t="s">
        <v>319</v>
      </c>
    </row>
    <row r="39" ht="24.0" customHeight="1">
      <c r="A39" s="96"/>
      <c r="B39" s="101"/>
      <c r="C39" s="96"/>
      <c r="D39" s="96"/>
      <c r="E39" s="96"/>
    </row>
    <row r="40" ht="31.5" customHeight="1">
      <c r="A40" s="47" t="s">
        <v>320</v>
      </c>
      <c r="B40" s="47" t="s">
        <v>168</v>
      </c>
      <c r="C40" s="47" t="s">
        <v>6</v>
      </c>
      <c r="D40" s="47"/>
      <c r="E40" s="47"/>
    </row>
    <row r="41" ht="36.0" customHeight="1">
      <c r="A41" s="96" t="s">
        <v>44</v>
      </c>
      <c r="B41" s="101">
        <f>SUM(B7,B22:B23,B36)</f>
        <v>4037980.325</v>
      </c>
      <c r="C41" s="96" t="s">
        <v>321</v>
      </c>
    </row>
    <row r="42" ht="36.0" customHeight="1">
      <c r="A42" s="96" t="s">
        <v>322</v>
      </c>
      <c r="B42" s="99">
        <f>B7/B41</f>
        <v>0.9697917486</v>
      </c>
      <c r="C42" s="96"/>
    </row>
    <row r="43" ht="36.0" customHeight="1">
      <c r="A43" s="96" t="s">
        <v>323</v>
      </c>
      <c r="B43" s="99">
        <f>SUM(B22:B23)/B41</f>
        <v>0.02579903606</v>
      </c>
      <c r="C43" s="96"/>
    </row>
    <row r="44" ht="36.0" customHeight="1">
      <c r="A44" s="96" t="s">
        <v>324</v>
      </c>
      <c r="B44" s="99">
        <f>B36/B41</f>
        <v>0.004409215392</v>
      </c>
      <c r="C44" s="96"/>
    </row>
    <row r="45" ht="36.0" customHeight="1">
      <c r="A45" s="105" t="s">
        <v>325</v>
      </c>
      <c r="B45" s="107">
        <f>B42*B17+B43*B30*(1-Assumptions!B5)+B44*B37</f>
        <v>0.09383060741</v>
      </c>
      <c r="C45" s="105" t="s">
        <v>326</v>
      </c>
    </row>
    <row r="46" ht="24.0" customHeight="1">
      <c r="A46" s="96"/>
      <c r="B46" s="101"/>
      <c r="C46" s="96"/>
      <c r="D46" s="96"/>
      <c r="E46" s="96"/>
    </row>
    <row r="47" ht="24.0" customHeight="1">
      <c r="A47" s="96"/>
      <c r="B47" s="101"/>
      <c r="C47" s="96"/>
      <c r="D47" s="96"/>
      <c r="E47" s="96"/>
    </row>
    <row r="48" ht="31.5" customHeight="1">
      <c r="A48" s="47" t="s">
        <v>327</v>
      </c>
      <c r="B48" s="47" t="s">
        <v>168</v>
      </c>
      <c r="C48" s="47" t="s">
        <v>6</v>
      </c>
      <c r="D48" s="47"/>
      <c r="E48" s="47"/>
    </row>
    <row r="49" ht="36.0" customHeight="1">
      <c r="A49" s="96" t="s">
        <v>328</v>
      </c>
      <c r="B49" s="101">
        <f>'Sources and basis'!B54</f>
        <v>7100</v>
      </c>
      <c r="C49" s="96" t="s">
        <v>329</v>
      </c>
    </row>
    <row r="50" ht="36.0" customHeight="1">
      <c r="A50" s="96" t="s">
        <v>330</v>
      </c>
      <c r="B50" s="110">
        <f>B49</f>
        <v>7100</v>
      </c>
      <c r="C50" s="111" t="s">
        <v>331</v>
      </c>
    </row>
    <row r="51" ht="24.0" customHeight="1">
      <c r="A51" s="96"/>
      <c r="B51" s="96"/>
      <c r="C51" s="96"/>
      <c r="D51" s="96"/>
      <c r="E51" s="96"/>
    </row>
    <row r="52" ht="24.0" customHeight="1">
      <c r="A52" s="96"/>
      <c r="B52" s="96"/>
      <c r="C52" s="96"/>
      <c r="D52" s="96"/>
      <c r="E52" s="96"/>
    </row>
    <row r="53" ht="41.25" customHeight="1">
      <c r="A53" s="95" t="s">
        <v>332</v>
      </c>
    </row>
    <row r="54" ht="41.25" customHeight="1">
      <c r="A54" s="95" t="s">
        <v>333</v>
      </c>
    </row>
    <row r="55" ht="41.25" customHeight="1">
      <c r="A55" s="96" t="s">
        <v>334</v>
      </c>
    </row>
  </sheetData>
  <mergeCells count="33">
    <mergeCell ref="A1:E1"/>
    <mergeCell ref="A2:E2"/>
    <mergeCell ref="C7:E7"/>
    <mergeCell ref="C8:E8"/>
    <mergeCell ref="C9:E9"/>
    <mergeCell ref="C15:E15"/>
    <mergeCell ref="C16:E16"/>
    <mergeCell ref="C17:E17"/>
    <mergeCell ref="C20:E20"/>
    <mergeCell ref="C21:E21"/>
    <mergeCell ref="C22:E22"/>
    <mergeCell ref="C23:E23"/>
    <mergeCell ref="C26:E26"/>
    <mergeCell ref="C27:E27"/>
    <mergeCell ref="C28:E28"/>
    <mergeCell ref="C29:E29"/>
    <mergeCell ref="C30:E30"/>
    <mergeCell ref="C33:E33"/>
    <mergeCell ref="C34:E34"/>
    <mergeCell ref="C35:E35"/>
    <mergeCell ref="C36:E36"/>
    <mergeCell ref="C49:E49"/>
    <mergeCell ref="C50:E50"/>
    <mergeCell ref="A53:E53"/>
    <mergeCell ref="A54:E54"/>
    <mergeCell ref="A55:E55"/>
    <mergeCell ref="C37:E37"/>
    <mergeCell ref="C38:E38"/>
    <mergeCell ref="C41:E41"/>
    <mergeCell ref="C42:E42"/>
    <mergeCell ref="C43:E43"/>
    <mergeCell ref="C44:E44"/>
    <mergeCell ref="C45:E4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0"/>
    <col customWidth="1" min="2" max="11" width="14.88"/>
  </cols>
  <sheetData>
    <row r="1" ht="31.5" customHeight="1">
      <c r="A1" s="1" t="s">
        <v>335</v>
      </c>
    </row>
    <row r="2" ht="31.5" customHeight="1">
      <c r="A2" s="55" t="s">
        <v>336</v>
      </c>
    </row>
    <row r="3" ht="19.5" customHeight="1">
      <c r="A3" s="3" t="s">
        <v>263</v>
      </c>
      <c r="B3" s="4" t="str">
        <f>Assumptions!B3</f>
        <v>Base</v>
      </c>
      <c r="C3" s="3"/>
      <c r="D3" s="3"/>
      <c r="E3" s="3"/>
      <c r="F3" s="3"/>
      <c r="G3" s="3"/>
      <c r="H3" s="3"/>
      <c r="I3" s="3"/>
      <c r="J3" s="3"/>
      <c r="K3" s="3"/>
    </row>
    <row r="4" ht="19.5" customHeight="1">
      <c r="A4" s="3"/>
      <c r="B4" s="3"/>
      <c r="C4" s="3"/>
      <c r="D4" s="3"/>
      <c r="E4" s="3"/>
      <c r="F4" s="3"/>
      <c r="G4" s="3"/>
      <c r="H4" s="3"/>
      <c r="I4" s="3"/>
      <c r="J4" s="3"/>
      <c r="K4" s="3"/>
    </row>
    <row r="5" ht="19.5" customHeight="1">
      <c r="A5" s="3"/>
      <c r="B5" s="3"/>
      <c r="C5" s="3"/>
      <c r="D5" s="3"/>
      <c r="E5" s="3"/>
      <c r="F5" s="3"/>
      <c r="G5" s="3"/>
      <c r="H5" s="3"/>
      <c r="I5" s="3"/>
      <c r="J5" s="3"/>
      <c r="K5" s="3"/>
    </row>
    <row r="6" ht="19.5" customHeight="1">
      <c r="A6" s="6" t="s">
        <v>337</v>
      </c>
      <c r="B6" s="6" t="s">
        <v>338</v>
      </c>
      <c r="C6" s="6" t="s">
        <v>339</v>
      </c>
      <c r="D6" s="6" t="s">
        <v>340</v>
      </c>
      <c r="E6" s="6" t="s">
        <v>341</v>
      </c>
      <c r="F6" s="6" t="s">
        <v>342</v>
      </c>
      <c r="G6" s="6" t="s">
        <v>343</v>
      </c>
      <c r="H6" s="6" t="s">
        <v>344</v>
      </c>
      <c r="I6" s="6" t="s">
        <v>345</v>
      </c>
      <c r="J6" s="6" t="s">
        <v>346</v>
      </c>
      <c r="K6" s="6" t="s">
        <v>347</v>
      </c>
    </row>
    <row r="7" ht="19.5" customHeight="1">
      <c r="A7" s="3"/>
      <c r="B7" s="3"/>
      <c r="C7" s="3"/>
      <c r="D7" s="3"/>
      <c r="E7" s="3"/>
      <c r="F7" s="3"/>
      <c r="G7" s="3"/>
      <c r="H7" s="3"/>
      <c r="I7" s="3"/>
      <c r="J7" s="3"/>
      <c r="K7" s="3"/>
    </row>
    <row r="8" ht="19.5" customHeight="1">
      <c r="A8" s="3" t="s">
        <v>348</v>
      </c>
      <c r="B8" s="4">
        <f>'Historical base'!C8</f>
        <v>224532</v>
      </c>
      <c r="C8" s="4">
        <f>'Historical base'!E8</f>
        <v>123670</v>
      </c>
      <c r="D8" s="4">
        <f>'Historical base'!F8</f>
        <v>243310</v>
      </c>
      <c r="E8" s="4">
        <f>('Historical base'!C8-'Historical base'!D8)*(1+Assumptions!B7)</f>
        <v>141058.2199</v>
      </c>
      <c r="F8" s="21">
        <f t="shared" ref="F8:F16" si="1">C8+E8</f>
        <v>264728.2199</v>
      </c>
      <c r="G8" s="4">
        <f>F8*(1+Assumptions!C7)</f>
        <v>304437.4529</v>
      </c>
      <c r="H8" s="4">
        <f>G8*(1+Assumptions!D7)</f>
        <v>344014.3217</v>
      </c>
      <c r="I8" s="4">
        <f>H8*(1+Assumptions!E7)</f>
        <v>381855.8971</v>
      </c>
      <c r="J8" s="4">
        <f>I8*(1+Assumptions!F7)</f>
        <v>416222.9279</v>
      </c>
      <c r="K8" s="4">
        <f>J8*(1+Assumptions!G7)</f>
        <v>449520.7621</v>
      </c>
    </row>
    <row r="9" ht="19.5" customHeight="1">
      <c r="A9" s="3" t="s">
        <v>349</v>
      </c>
      <c r="B9" s="4">
        <f>'Historical base'!C9</f>
        <v>40367</v>
      </c>
      <c r="C9" s="4">
        <f>'Historical base'!E9</f>
        <v>20938</v>
      </c>
      <c r="D9" s="4">
        <f>'Historical base'!F9</f>
        <v>42582</v>
      </c>
      <c r="E9" s="4">
        <f>('Historical base'!C9-'Historical base'!D9)*(1+Assumptions!B12)</f>
        <v>24204.56508</v>
      </c>
      <c r="F9" s="21">
        <f t="shared" si="1"/>
        <v>45142.56508</v>
      </c>
      <c r="G9" s="4">
        <f>F9*(1+Assumptions!C12)</f>
        <v>50559.67289</v>
      </c>
      <c r="H9" s="4">
        <f>G9*(1+Assumptions!D12)</f>
        <v>56121.23691</v>
      </c>
      <c r="I9" s="4">
        <f>H9*(1+Assumptions!E12)</f>
        <v>61733.3606</v>
      </c>
      <c r="J9" s="4">
        <f>I9*(1+Assumptions!F12)</f>
        <v>67289.36305</v>
      </c>
      <c r="K9" s="4">
        <f>J9*(1+Assumptions!G12)</f>
        <v>72672.5121</v>
      </c>
    </row>
    <row r="10" ht="19.5" customHeight="1">
      <c r="A10" s="3" t="s">
        <v>350</v>
      </c>
      <c r="B10" s="4">
        <f>'Historical base'!C10</f>
        <v>29792</v>
      </c>
      <c r="C10" s="4">
        <f>'Historical base'!E10</f>
        <v>14274</v>
      </c>
      <c r="D10" s="4">
        <f>'Historical base'!F10</f>
        <v>29456</v>
      </c>
      <c r="E10" s="4">
        <f>('Historical base'!C10-'Historical base'!D10)*(1+Assumptions!B17)</f>
        <v>14832.84517</v>
      </c>
      <c r="F10" s="21">
        <f t="shared" si="1"/>
        <v>29106.84517</v>
      </c>
      <c r="G10" s="4">
        <f>F10*(1+Assumptions!C17)</f>
        <v>28233.63982</v>
      </c>
      <c r="H10" s="4">
        <f>G10*(1+Assumptions!D17)</f>
        <v>27386.63062</v>
      </c>
      <c r="I10" s="4">
        <f>H10*(1+Assumptions!E17)</f>
        <v>26838.89801</v>
      </c>
      <c r="J10" s="4">
        <f>I10*(1+Assumptions!F17)</f>
        <v>26302.12005</v>
      </c>
      <c r="K10" s="4">
        <f>J10*(1+Assumptions!G17)</f>
        <v>25776.07765</v>
      </c>
    </row>
    <row r="11" ht="19.5" customHeight="1">
      <c r="A11" s="3" t="s">
        <v>351</v>
      </c>
      <c r="B11" s="4">
        <f>'Historical base'!C11</f>
        <v>48030</v>
      </c>
      <c r="C11" s="4">
        <f>'Historical base'!E11</f>
        <v>25295</v>
      </c>
      <c r="D11" s="4">
        <f>'Historical base'!F11</f>
        <v>51743</v>
      </c>
      <c r="E11" s="4">
        <f>('Historical base'!C11-'Historical base'!D11)*(1+Assumptions!B22)</f>
        <v>30998.15402</v>
      </c>
      <c r="F11" s="21">
        <f t="shared" si="1"/>
        <v>56293.15402</v>
      </c>
      <c r="G11" s="4">
        <f>F11*(1+Assumptions!C22)</f>
        <v>64737.12712</v>
      </c>
      <c r="H11" s="4">
        <f>G11*(1+Assumptions!D22)</f>
        <v>73152.95365</v>
      </c>
      <c r="I11" s="4">
        <f>H11*(1+Assumptions!E22)</f>
        <v>81931.30808</v>
      </c>
      <c r="J11" s="4">
        <f>I11*(1+Assumptions!F22)</f>
        <v>90124.43889</v>
      </c>
      <c r="K11" s="4">
        <f>J11*(1+Assumptions!G22)</f>
        <v>98235.63839</v>
      </c>
    </row>
    <row r="12" ht="19.5" customHeight="1">
      <c r="A12" s="3" t="s">
        <v>276</v>
      </c>
      <c r="B12" s="4">
        <f>'Historical base'!C12</f>
        <v>342721</v>
      </c>
      <c r="C12" s="4">
        <f>'Historical base'!E12</f>
        <v>184177</v>
      </c>
      <c r="D12" s="4">
        <f>'Historical base'!F12</f>
        <v>367091</v>
      </c>
      <c r="E12" s="21">
        <f>SUM(E8:E11)</f>
        <v>211093.7842</v>
      </c>
      <c r="F12" s="21">
        <f t="shared" si="1"/>
        <v>395270.7842</v>
      </c>
      <c r="G12" s="21">
        <f t="shared" ref="G12:K12" si="2">SUM(G8:G11)</f>
        <v>447967.8927</v>
      </c>
      <c r="H12" s="21">
        <f t="shared" si="2"/>
        <v>500675.1429</v>
      </c>
      <c r="I12" s="21">
        <f t="shared" si="2"/>
        <v>552359.4638</v>
      </c>
      <c r="J12" s="21">
        <f t="shared" si="2"/>
        <v>599938.8499</v>
      </c>
      <c r="K12" s="21">
        <f t="shared" si="2"/>
        <v>646204.9902</v>
      </c>
    </row>
    <row r="13" ht="19.5" customHeight="1">
      <c r="A13" s="3" t="s">
        <v>278</v>
      </c>
      <c r="B13" s="4">
        <f>'Historical base'!C13</f>
        <v>58705</v>
      </c>
      <c r="C13" s="4">
        <f>'Historical base'!E13</f>
        <v>44796</v>
      </c>
      <c r="D13" s="4">
        <f>'Historical base'!F13</f>
        <v>77617</v>
      </c>
      <c r="E13" s="4">
        <f>'Cloud demand'!B28</f>
        <v>59763.54706</v>
      </c>
      <c r="F13" s="21">
        <f t="shared" si="1"/>
        <v>104559.5471</v>
      </c>
      <c r="G13" s="4">
        <f>'Cloud demand'!C28</f>
        <v>155893.9834</v>
      </c>
      <c r="H13" s="4">
        <f>'Cloud demand'!D28</f>
        <v>195122.5792</v>
      </c>
      <c r="I13" s="4">
        <f>'Cloud demand'!E28</f>
        <v>233232.9486</v>
      </c>
      <c r="J13" s="4">
        <f>'Cloud demand'!F28</f>
        <v>269641.5861</v>
      </c>
      <c r="K13" s="4">
        <f>'Cloud demand'!G28</f>
        <v>301344.0321</v>
      </c>
    </row>
    <row r="14" ht="19.5" customHeight="1">
      <c r="A14" s="3" t="s">
        <v>280</v>
      </c>
      <c r="B14" s="4">
        <f>'Historical base'!C14</f>
        <v>1537</v>
      </c>
      <c r="C14" s="4">
        <f>'Historical base'!E14</f>
        <v>793</v>
      </c>
      <c r="D14" s="4">
        <f>'Historical base'!F14</f>
        <v>1507</v>
      </c>
      <c r="E14" s="4">
        <f>('Historical base'!C14-'Historical base'!D14)*(1+Assumptions!B32)</f>
        <v>785.4</v>
      </c>
      <c r="F14" s="21">
        <f t="shared" si="1"/>
        <v>1578.4</v>
      </c>
      <c r="G14" s="4">
        <f>F14*(1+Assumptions!C32)</f>
        <v>1736.24</v>
      </c>
      <c r="H14" s="4">
        <f>G14*(1+Assumptions!D32)</f>
        <v>1909.864</v>
      </c>
      <c r="I14" s="4">
        <f>H14*(1+Assumptions!E32)</f>
        <v>2100.8504</v>
      </c>
      <c r="J14" s="4">
        <f>I14*(1+Assumptions!F32)</f>
        <v>2310.93544</v>
      </c>
      <c r="K14" s="4">
        <f>J14*(1+Assumptions!G32)</f>
        <v>2542.028984</v>
      </c>
    </row>
    <row r="15" ht="19.5" customHeight="1">
      <c r="A15" s="3" t="s">
        <v>352</v>
      </c>
      <c r="B15" s="4">
        <f>'Historical base'!C15</f>
        <v>-127</v>
      </c>
      <c r="C15" s="4">
        <f>'Historical base'!E15</f>
        <v>-74</v>
      </c>
      <c r="D15" s="4">
        <f>'Historical base'!F15</f>
        <v>-349</v>
      </c>
      <c r="E15" s="21">
        <f>0</f>
        <v>0</v>
      </c>
      <c r="F15" s="21">
        <f t="shared" si="1"/>
        <v>-74</v>
      </c>
      <c r="G15" s="21">
        <f t="shared" ref="G15:K15" si="3">0</f>
        <v>0</v>
      </c>
      <c r="H15" s="21">
        <f t="shared" si="3"/>
        <v>0</v>
      </c>
      <c r="I15" s="21">
        <f t="shared" si="3"/>
        <v>0</v>
      </c>
      <c r="J15" s="21">
        <f t="shared" si="3"/>
        <v>0</v>
      </c>
      <c r="K15" s="21">
        <f t="shared" si="3"/>
        <v>0</v>
      </c>
    </row>
    <row r="16" ht="19.5" customHeight="1">
      <c r="A16" s="22" t="s">
        <v>353</v>
      </c>
      <c r="B16" s="112">
        <f>'Historical base'!C16</f>
        <v>402836</v>
      </c>
      <c r="C16" s="112">
        <f>'Historical base'!E16</f>
        <v>229692</v>
      </c>
      <c r="D16" s="112">
        <f>'Historical base'!F16</f>
        <v>445866</v>
      </c>
      <c r="E16" s="113">
        <f>SUM(E12:E15)</f>
        <v>271642.7312</v>
      </c>
      <c r="F16" s="113">
        <f t="shared" si="1"/>
        <v>501334.7312</v>
      </c>
      <c r="G16" s="113">
        <f t="shared" ref="G16:K16" si="4">SUM(G12:G15)</f>
        <v>605598.116</v>
      </c>
      <c r="H16" s="113">
        <f t="shared" si="4"/>
        <v>697707.5861</v>
      </c>
      <c r="I16" s="113">
        <f t="shared" si="4"/>
        <v>787693.2628</v>
      </c>
      <c r="J16" s="113">
        <f t="shared" si="4"/>
        <v>871891.3715</v>
      </c>
      <c r="K16" s="113">
        <f t="shared" si="4"/>
        <v>950091.0513</v>
      </c>
    </row>
    <row r="17" ht="19.5" customHeight="1">
      <c r="A17" s="3"/>
      <c r="B17" s="3"/>
      <c r="C17" s="3"/>
      <c r="D17" s="3"/>
      <c r="E17" s="3"/>
      <c r="F17" s="3"/>
      <c r="G17" s="3"/>
      <c r="H17" s="3"/>
      <c r="I17" s="3"/>
      <c r="J17" s="3"/>
      <c r="K17" s="3"/>
    </row>
    <row r="18" ht="19.5" customHeight="1">
      <c r="A18" s="3"/>
      <c r="B18" s="3"/>
      <c r="C18" s="3"/>
      <c r="D18" s="3"/>
      <c r="E18" s="3"/>
      <c r="F18" s="3"/>
      <c r="G18" s="3"/>
      <c r="H18" s="3"/>
      <c r="I18" s="3"/>
      <c r="J18" s="3"/>
      <c r="K18" s="3"/>
    </row>
    <row r="19" ht="19.5" customHeight="1">
      <c r="A19" s="25" t="s">
        <v>354</v>
      </c>
      <c r="B19" s="25"/>
      <c r="C19" s="25"/>
      <c r="D19" s="25"/>
      <c r="E19" s="25"/>
      <c r="F19" s="25"/>
      <c r="G19" s="25"/>
      <c r="H19" s="25"/>
      <c r="I19" s="25"/>
      <c r="J19" s="25"/>
      <c r="K19" s="25"/>
    </row>
    <row r="20" ht="19.5" customHeight="1">
      <c r="A20" s="3" t="s">
        <v>355</v>
      </c>
      <c r="B20" s="4">
        <f>'Historical base'!C20</f>
        <v>139404</v>
      </c>
      <c r="C20" s="4">
        <f>'Historical base'!E20</f>
        <v>80133</v>
      </c>
      <c r="D20" s="4">
        <f>'Historical base'!F20</f>
        <v>153792</v>
      </c>
      <c r="E20" s="4">
        <f>E12*Assumptions!B37-E48-E50</f>
        <v>92639.36483</v>
      </c>
      <c r="F20" s="21">
        <f t="shared" ref="F20:F26" si="5">C20+E20</f>
        <v>172772.3648</v>
      </c>
      <c r="G20" s="4">
        <f>G12*Assumptions!C37-G48-G50</f>
        <v>196697.7329</v>
      </c>
      <c r="H20" s="4">
        <f>H12*Assumptions!D37-H48-H50</f>
        <v>222595.9163</v>
      </c>
      <c r="I20" s="4">
        <f>I12*Assumptions!E37-I48-I50</f>
        <v>245290.6392</v>
      </c>
      <c r="J20" s="4">
        <f>J12*Assumptions!F37-J48-J50</f>
        <v>265730.668</v>
      </c>
      <c r="K20" s="4">
        <f>K12*Assumptions!G37-K48-K50</f>
        <v>288446.2876</v>
      </c>
    </row>
    <row r="21" ht="19.5" customHeight="1">
      <c r="A21" s="3" t="s">
        <v>356</v>
      </c>
      <c r="B21" s="4">
        <f>'Historical base'!C21</f>
        <v>13910</v>
      </c>
      <c r="C21" s="4">
        <f>'Historical base'!E21</f>
        <v>15412</v>
      </c>
      <c r="D21" s="4">
        <f>'Historical base'!F21</f>
        <v>24319</v>
      </c>
      <c r="E21" s="4">
        <f>E13*Assumptions!B42</f>
        <v>20561.56325</v>
      </c>
      <c r="F21" s="21">
        <f t="shared" si="5"/>
        <v>35973.56325</v>
      </c>
      <c r="G21" s="4">
        <f>G13*Assumptions!C42</f>
        <v>54562.89417</v>
      </c>
      <c r="H21" s="4">
        <f>H13*Assumptions!D42</f>
        <v>70244.12849</v>
      </c>
      <c r="I21" s="4">
        <f>I13*Assumptions!E42</f>
        <v>86296.19098</v>
      </c>
      <c r="J21" s="4">
        <f>J13*Assumptions!F42</f>
        <v>102463.8027</v>
      </c>
      <c r="K21" s="4">
        <f>K13*Assumptions!G42</f>
        <v>114510.7322</v>
      </c>
    </row>
    <row r="22" ht="19.5" customHeight="1">
      <c r="A22" s="3" t="s">
        <v>357</v>
      </c>
      <c r="B22" s="4">
        <f>'Historical base'!C22</f>
        <v>-7515</v>
      </c>
      <c r="C22" s="4">
        <f>'Historical base'!E22</f>
        <v>-3899</v>
      </c>
      <c r="D22" s="4">
        <f>'Historical base'!F22</f>
        <v>-8942</v>
      </c>
      <c r="E22" s="4">
        <f>('Historical base'!C22-'Historical base'!D22)*(1+Assumptions!B47)</f>
        <v>-5799.45</v>
      </c>
      <c r="F22" s="21">
        <f t="shared" si="5"/>
        <v>-9698.45</v>
      </c>
      <c r="G22" s="4">
        <f>F22*(1+Assumptions!C47)</f>
        <v>-11153.2175</v>
      </c>
      <c r="H22" s="4">
        <f>G22*(1+Assumptions!D47)</f>
        <v>-12491.6036</v>
      </c>
      <c r="I22" s="4">
        <f>H22*(1+Assumptions!E47)</f>
        <v>-13740.76396</v>
      </c>
      <c r="J22" s="4">
        <f>I22*(1+Assumptions!F47)</f>
        <v>-14840.02508</v>
      </c>
      <c r="K22" s="4">
        <f>J22*(1+Assumptions!G47)</f>
        <v>-15582.02633</v>
      </c>
    </row>
    <row r="23" ht="19.5" customHeight="1">
      <c r="A23" s="3" t="s">
        <v>358</v>
      </c>
      <c r="B23" s="4">
        <f>'Historical base'!C23</f>
        <v>-16760</v>
      </c>
      <c r="C23" s="4">
        <f>'Historical base'!E23</f>
        <v>-11180</v>
      </c>
      <c r="D23" s="4">
        <f>'Historical base'!F23</f>
        <v>-21541</v>
      </c>
      <c r="E23" s="4">
        <f>-E64</f>
        <v>-12107.69215</v>
      </c>
      <c r="F23" s="21">
        <f t="shared" si="5"/>
        <v>-23287.69215</v>
      </c>
      <c r="G23" s="4">
        <f t="shared" ref="G23:K23" si="6">-G64</f>
        <v>-26561.55602</v>
      </c>
      <c r="H23" s="4">
        <f t="shared" si="6"/>
        <v>-29364.37501</v>
      </c>
      <c r="I23" s="4">
        <f t="shared" si="6"/>
        <v>-32072.83605</v>
      </c>
      <c r="J23" s="4">
        <f t="shared" si="6"/>
        <v>-34570.90843</v>
      </c>
      <c r="K23" s="4">
        <f t="shared" si="6"/>
        <v>-36860.52256</v>
      </c>
    </row>
    <row r="24" ht="19.5" customHeight="1">
      <c r="A24" s="22" t="s">
        <v>359</v>
      </c>
      <c r="B24" s="112">
        <f>'Historical base'!C24</f>
        <v>129039</v>
      </c>
      <c r="C24" s="112">
        <f>'Historical base'!E24</f>
        <v>80466</v>
      </c>
      <c r="D24" s="112">
        <f>'Historical base'!F24</f>
        <v>147628</v>
      </c>
      <c r="E24" s="113">
        <f>SUM(E20:E23)</f>
        <v>95293.78592</v>
      </c>
      <c r="F24" s="113">
        <f t="shared" si="5"/>
        <v>175759.7859</v>
      </c>
      <c r="G24" s="113">
        <f t="shared" ref="G24:K24" si="7">SUM(G20:G23)</f>
        <v>213545.8536</v>
      </c>
      <c r="H24" s="113">
        <f t="shared" si="7"/>
        <v>250984.0662</v>
      </c>
      <c r="I24" s="113">
        <f t="shared" si="7"/>
        <v>285773.2302</v>
      </c>
      <c r="J24" s="113">
        <f t="shared" si="7"/>
        <v>318783.5373</v>
      </c>
      <c r="K24" s="113">
        <f t="shared" si="7"/>
        <v>350514.4709</v>
      </c>
    </row>
    <row r="25" ht="19.5" customHeight="1">
      <c r="A25" s="3" t="s">
        <v>360</v>
      </c>
      <c r="B25" s="3"/>
      <c r="C25" s="21">
        <f>C30+C31</f>
        <v>14131</v>
      </c>
      <c r="D25" s="3"/>
      <c r="E25" s="4">
        <f>E16*Assumptions!$B$95</f>
        <v>16711.87257</v>
      </c>
      <c r="F25" s="21">
        <f t="shared" si="5"/>
        <v>30842.87257</v>
      </c>
      <c r="G25" s="4">
        <f>G16*Assumptions!$B$95</f>
        <v>37257.31405</v>
      </c>
      <c r="H25" s="4">
        <f>H16*Assumptions!$B$95</f>
        <v>42924.02826</v>
      </c>
      <c r="I25" s="4">
        <f>I16*Assumptions!$B$95</f>
        <v>48460.08349</v>
      </c>
      <c r="J25" s="4">
        <f>J16*Assumptions!$B$95</f>
        <v>53640.07876</v>
      </c>
      <c r="K25" s="4">
        <f>K16*Assumptions!$B$95</f>
        <v>58451.0416</v>
      </c>
    </row>
    <row r="26" ht="19.5" customHeight="1">
      <c r="A26" s="22" t="s">
        <v>361</v>
      </c>
      <c r="B26" s="22"/>
      <c r="C26" s="113">
        <f>C24+C25</f>
        <v>94597</v>
      </c>
      <c r="D26" s="22"/>
      <c r="E26" s="113">
        <f>SUM(E24:E25)</f>
        <v>112005.6585</v>
      </c>
      <c r="F26" s="113">
        <f t="shared" si="5"/>
        <v>206602.6585</v>
      </c>
      <c r="G26" s="113">
        <f t="shared" ref="G26:K26" si="8">SUM(G24:G25)</f>
        <v>250803.1676</v>
      </c>
      <c r="H26" s="113">
        <f t="shared" si="8"/>
        <v>293908.0945</v>
      </c>
      <c r="I26" s="113">
        <f t="shared" si="8"/>
        <v>334233.3137</v>
      </c>
      <c r="J26" s="113">
        <f t="shared" si="8"/>
        <v>372423.616</v>
      </c>
      <c r="K26" s="113">
        <f t="shared" si="8"/>
        <v>408965.5125</v>
      </c>
    </row>
    <row r="27" ht="19.5" customHeight="1">
      <c r="A27" s="3"/>
      <c r="B27" s="3"/>
      <c r="C27" s="3"/>
      <c r="D27" s="3"/>
      <c r="E27" s="3"/>
      <c r="F27" s="3"/>
      <c r="G27" s="3"/>
      <c r="H27" s="3"/>
      <c r="I27" s="3"/>
      <c r="J27" s="3"/>
      <c r="K27" s="3"/>
    </row>
    <row r="28" ht="19.5" customHeight="1">
      <c r="A28" s="3"/>
      <c r="B28" s="3"/>
      <c r="C28" s="3"/>
      <c r="D28" s="3"/>
      <c r="E28" s="3"/>
      <c r="F28" s="3"/>
      <c r="G28" s="3"/>
      <c r="H28" s="3"/>
      <c r="I28" s="3"/>
      <c r="J28" s="3"/>
      <c r="K28" s="3"/>
    </row>
    <row r="29" ht="19.5" customHeight="1">
      <c r="A29" s="25" t="s">
        <v>362</v>
      </c>
      <c r="B29" s="25"/>
      <c r="C29" s="25"/>
      <c r="D29" s="25"/>
      <c r="E29" s="25"/>
      <c r="F29" s="25"/>
      <c r="G29" s="25"/>
      <c r="H29" s="25"/>
      <c r="I29" s="25"/>
      <c r="J29" s="25"/>
      <c r="K29" s="25"/>
    </row>
    <row r="30" ht="19.5" customHeight="1">
      <c r="A30" s="3" t="s">
        <v>363</v>
      </c>
      <c r="B30" s="3"/>
      <c r="C30" s="4">
        <f>'Historical base'!E39</f>
        <v>13586</v>
      </c>
      <c r="D30" s="3"/>
      <c r="E30" s="4">
        <f>'Capital and FCFF'!B24</f>
        <v>21756.2075</v>
      </c>
      <c r="F30" s="21">
        <f t="shared" ref="F30:F31" si="9">C30+E30</f>
        <v>35342.2075</v>
      </c>
      <c r="G30" s="4">
        <f>'Capital and FCFF'!C24</f>
        <v>59679.30649</v>
      </c>
      <c r="H30" s="4">
        <f>'Capital and FCFF'!D24</f>
        <v>85811.88703</v>
      </c>
      <c r="I30" s="4">
        <f>'Capital and FCFF'!E24</f>
        <v>97481.52193</v>
      </c>
      <c r="J30" s="4">
        <f>'Capital and FCFF'!F24</f>
        <v>110008.9459</v>
      </c>
      <c r="K30" s="4">
        <f>'Capital and FCFF'!G24</f>
        <v>137711.4703</v>
      </c>
    </row>
    <row r="31" ht="19.5" customHeight="1">
      <c r="A31" s="3" t="s">
        <v>364</v>
      </c>
      <c r="B31" s="3"/>
      <c r="C31" s="4">
        <f>'Sources and basis'!D47</f>
        <v>545</v>
      </c>
      <c r="D31" s="3"/>
      <c r="E31" s="4">
        <f>'Capital and FCFF'!B25</f>
        <v>747</v>
      </c>
      <c r="F31" s="21">
        <f t="shared" si="9"/>
        <v>1292</v>
      </c>
      <c r="G31" s="4">
        <f>'Capital and FCFF'!C25</f>
        <v>1304</v>
      </c>
      <c r="H31" s="4">
        <f>'Capital and FCFF'!D25</f>
        <v>1142</v>
      </c>
      <c r="I31" s="4">
        <f>'Capital and FCFF'!E25</f>
        <v>1096</v>
      </c>
      <c r="J31" s="4">
        <f>'Capital and FCFF'!F25</f>
        <v>1055</v>
      </c>
      <c r="K31" s="4">
        <f>'Capital and FCFF'!G25</f>
        <v>1055</v>
      </c>
    </row>
    <row r="32" ht="19.5" customHeight="1">
      <c r="A32" s="3"/>
      <c r="B32" s="3"/>
      <c r="C32" s="3"/>
      <c r="D32" s="3"/>
      <c r="E32" s="3"/>
      <c r="F32" s="3"/>
      <c r="G32" s="3"/>
      <c r="H32" s="3"/>
      <c r="I32" s="3"/>
      <c r="J32" s="3"/>
      <c r="K32" s="3"/>
    </row>
    <row r="33" ht="19.5" customHeight="1">
      <c r="A33" s="22" t="s">
        <v>365</v>
      </c>
      <c r="B33" s="112">
        <f>'Historical base'!C24</f>
        <v>129039</v>
      </c>
      <c r="C33" s="112">
        <f>'Historical base'!E24</f>
        <v>80466</v>
      </c>
      <c r="D33" s="112">
        <f>'Historical base'!F24</f>
        <v>147628</v>
      </c>
      <c r="E33" s="113">
        <f>E26-E30-E31</f>
        <v>89502.45099</v>
      </c>
      <c r="F33" s="113">
        <f>C33+E33</f>
        <v>169968.451</v>
      </c>
      <c r="G33" s="113">
        <f t="shared" ref="G33:K33" si="10">G26-G30-G31</f>
        <v>189819.8611</v>
      </c>
      <c r="H33" s="113">
        <f t="shared" si="10"/>
        <v>206954.2074</v>
      </c>
      <c r="I33" s="113">
        <f t="shared" si="10"/>
        <v>235655.7917</v>
      </c>
      <c r="J33" s="113">
        <f t="shared" si="10"/>
        <v>261359.6701</v>
      </c>
      <c r="K33" s="113">
        <f t="shared" si="10"/>
        <v>270199.0423</v>
      </c>
    </row>
    <row r="34" ht="19.5" customHeight="1">
      <c r="A34" s="3" t="s">
        <v>366</v>
      </c>
      <c r="B34" s="60">
        <f>'Historical base'!C28</f>
        <v>0.3203263859</v>
      </c>
      <c r="C34" s="60">
        <f>'Historical base'!E28</f>
        <v>0.3503212998</v>
      </c>
      <c r="D34" s="60">
        <f>'Historical base'!F28</f>
        <v>0.331103964</v>
      </c>
      <c r="E34" s="29">
        <f t="shared" ref="E34:K34" si="11">E33/E16</f>
        <v>0.3294859045</v>
      </c>
      <c r="F34" s="29">
        <f t="shared" si="11"/>
        <v>0.3390318692</v>
      </c>
      <c r="G34" s="29">
        <f t="shared" si="11"/>
        <v>0.3134419611</v>
      </c>
      <c r="H34" s="29">
        <f t="shared" si="11"/>
        <v>0.2966202626</v>
      </c>
      <c r="I34" s="29">
        <f t="shared" si="11"/>
        <v>0.2991720291</v>
      </c>
      <c r="J34" s="29">
        <f t="shared" si="11"/>
        <v>0.2997617349</v>
      </c>
      <c r="K34" s="29">
        <f t="shared" si="11"/>
        <v>0.2843927873</v>
      </c>
    </row>
    <row r="35" ht="19.5" customHeight="1">
      <c r="A35" s="3" t="s">
        <v>367</v>
      </c>
      <c r="B35" s="3"/>
      <c r="C35" s="21">
        <f>C33-C36</f>
        <v>16897.86</v>
      </c>
      <c r="D35" s="3"/>
      <c r="E35" s="4">
        <f>MAX(0,E33+E31*(1-Assumptions!$B$239))*Assumptions!B77</f>
        <v>16244.90118</v>
      </c>
      <c r="F35" s="21">
        <f t="shared" ref="F35:F36" si="12">C35+E35</f>
        <v>33142.76118</v>
      </c>
      <c r="G35" s="4">
        <f>MAX(0,G33+G31*(1-Assumptions!$B$239))*Assumptions!C77</f>
        <v>34402.295</v>
      </c>
      <c r="H35" s="4">
        <f>MAX(0,H33+H31*(1-Assumptions!$B$239))*Assumptions!D77</f>
        <v>37457.31734</v>
      </c>
      <c r="I35" s="4">
        <f>MAX(0,I33+I31*(1-Assumptions!$B$239))*Assumptions!E77</f>
        <v>42615.32251</v>
      </c>
      <c r="J35" s="4">
        <f>MAX(0,J33+J31*(1-Assumptions!$B$239))*Assumptions!F77</f>
        <v>47234.64063</v>
      </c>
      <c r="K35" s="4">
        <f>MAX(0,K33+K31*(1-Assumptions!$B$239))*Assumptions!G77</f>
        <v>48825.72761</v>
      </c>
    </row>
    <row r="36" ht="19.5" customHeight="1">
      <c r="A36" s="22" t="s">
        <v>368</v>
      </c>
      <c r="B36" s="112">
        <f>'Historical base'!C30</f>
        <v>101940.81</v>
      </c>
      <c r="C36" s="112">
        <f>'Historical base'!E30</f>
        <v>63568.14</v>
      </c>
      <c r="D36" s="112">
        <f>'Historical base'!F30</f>
        <v>116626.12</v>
      </c>
      <c r="E36" s="113">
        <f>E33-E35</f>
        <v>73257.54982</v>
      </c>
      <c r="F36" s="113">
        <f t="shared" si="12"/>
        <v>136825.6898</v>
      </c>
      <c r="G36" s="113">
        <f t="shared" ref="G36:K36" si="13">G33-G35</f>
        <v>155417.5661</v>
      </c>
      <c r="H36" s="113">
        <f t="shared" si="13"/>
        <v>169496.8901</v>
      </c>
      <c r="I36" s="113">
        <f t="shared" si="13"/>
        <v>193040.4692</v>
      </c>
      <c r="J36" s="113">
        <f t="shared" si="13"/>
        <v>214125.0295</v>
      </c>
      <c r="K36" s="113">
        <f t="shared" si="13"/>
        <v>221373.3146</v>
      </c>
    </row>
    <row r="37" ht="19.5" customHeight="1">
      <c r="A37" s="3"/>
      <c r="B37" s="3"/>
      <c r="C37" s="3"/>
      <c r="D37" s="3"/>
      <c r="E37" s="3"/>
      <c r="F37" s="3"/>
      <c r="G37" s="3"/>
      <c r="H37" s="3"/>
      <c r="I37" s="3"/>
      <c r="J37" s="3"/>
      <c r="K37" s="3"/>
    </row>
    <row r="38" ht="19.5" customHeight="1">
      <c r="A38" s="22" t="s">
        <v>369</v>
      </c>
      <c r="B38" s="112">
        <f>'Historical base'!C35</f>
        <v>91447</v>
      </c>
      <c r="C38" s="112">
        <f>'Historical base'!E35</f>
        <v>80598</v>
      </c>
      <c r="D38" s="112">
        <f>'Historical base'!F35</f>
        <v>132402</v>
      </c>
      <c r="E38" s="112">
        <f>'Capital and FCFF'!B12</f>
        <v>119402</v>
      </c>
      <c r="F38" s="113">
        <f>C38+E38</f>
        <v>200000</v>
      </c>
      <c r="G38" s="112">
        <f>'Capital and FCFF'!C12</f>
        <v>212413.9759</v>
      </c>
      <c r="H38" s="112">
        <f>'Capital and FCFF'!D12</f>
        <v>209722.855</v>
      </c>
      <c r="I38" s="112">
        <f>'Capital and FCFF'!E12</f>
        <v>213367.426</v>
      </c>
      <c r="J38" s="112">
        <f>'Capital and FCFF'!F12</f>
        <v>210183.7207</v>
      </c>
      <c r="K38" s="112">
        <f>'Capital and FCFF'!G12</f>
        <v>210118.6171</v>
      </c>
    </row>
    <row r="39" ht="19.5" customHeight="1">
      <c r="A39" s="3"/>
      <c r="B39" s="3"/>
      <c r="C39" s="3"/>
      <c r="D39" s="3"/>
      <c r="E39" s="3"/>
      <c r="F39" s="3"/>
      <c r="G39" s="3"/>
      <c r="H39" s="3"/>
      <c r="I39" s="3"/>
      <c r="J39" s="3"/>
      <c r="K39" s="3"/>
    </row>
    <row r="40" ht="19.5" customHeight="1">
      <c r="A40" s="25" t="s">
        <v>370</v>
      </c>
      <c r="B40" s="25"/>
      <c r="C40" s="25"/>
      <c r="D40" s="25"/>
      <c r="E40" s="25"/>
      <c r="F40" s="25"/>
      <c r="G40" s="25"/>
      <c r="H40" s="25"/>
      <c r="I40" s="25"/>
      <c r="J40" s="25"/>
      <c r="K40" s="25"/>
    </row>
    <row r="41" ht="34.5" customHeight="1">
      <c r="A41" s="55" t="s">
        <v>371</v>
      </c>
    </row>
    <row r="42" ht="34.5" customHeight="1">
      <c r="A42" s="55" t="s">
        <v>372</v>
      </c>
    </row>
    <row r="43" ht="34.5" customHeight="1">
      <c r="A43" s="55" t="s">
        <v>373</v>
      </c>
    </row>
    <row r="45">
      <c r="A45" s="114" t="s">
        <v>374</v>
      </c>
      <c r="B45" s="114"/>
      <c r="C45" s="114"/>
      <c r="D45" s="114"/>
      <c r="E45" s="114"/>
      <c r="F45" s="114"/>
      <c r="G45" s="114"/>
      <c r="H45" s="114"/>
      <c r="I45" s="114"/>
      <c r="J45" s="114"/>
      <c r="K45" s="114"/>
    </row>
    <row r="46">
      <c r="A46" s="115" t="s">
        <v>375</v>
      </c>
      <c r="B46" s="115"/>
      <c r="C46" s="115"/>
      <c r="D46" s="115"/>
      <c r="E46" s="115">
        <f t="shared" ref="E46:K46" si="14">SUM(E8:E10)</f>
        <v>180095.6301</v>
      </c>
      <c r="F46" s="115">
        <f t="shared" si="14"/>
        <v>338977.6301</v>
      </c>
      <c r="G46" s="115">
        <f t="shared" si="14"/>
        <v>383230.7656</v>
      </c>
      <c r="H46" s="115">
        <f t="shared" si="14"/>
        <v>427522.1893</v>
      </c>
      <c r="I46" s="115">
        <f t="shared" si="14"/>
        <v>470428.1557</v>
      </c>
      <c r="J46" s="115">
        <f t="shared" si="14"/>
        <v>509814.411</v>
      </c>
      <c r="K46" s="115">
        <f t="shared" si="14"/>
        <v>547969.3518</v>
      </c>
    </row>
    <row r="47">
      <c r="A47" s="115" t="s">
        <v>376</v>
      </c>
      <c r="B47" s="116"/>
      <c r="C47" s="116"/>
      <c r="D47" s="116"/>
      <c r="E47" s="116">
        <f>Assumptions!B153+E57</f>
        <v>-0.002991727998</v>
      </c>
      <c r="F47" s="116"/>
      <c r="G47" s="116">
        <f>Assumptions!C153+G57</f>
        <v>-0.006467029164</v>
      </c>
      <c r="H47" s="116">
        <f>Assumptions!D153+H57</f>
        <v>-0.01031251597</v>
      </c>
      <c r="I47" s="116">
        <f>Assumptions!E153+I57</f>
        <v>-0.01311527727</v>
      </c>
      <c r="J47" s="116">
        <f>Assumptions!F153+J57</f>
        <v>-0.01529948009</v>
      </c>
      <c r="K47" s="116">
        <f>Assumptions!G153+K57</f>
        <v>-0.01712039599</v>
      </c>
    </row>
    <row r="48">
      <c r="A48" s="115" t="s">
        <v>377</v>
      </c>
      <c r="B48" s="115"/>
      <c r="C48" s="115"/>
      <c r="D48" s="115"/>
      <c r="E48" s="115">
        <f>E46*E47</f>
        <v>-538.7971389</v>
      </c>
      <c r="F48" s="115">
        <f>E48</f>
        <v>-538.7971389</v>
      </c>
      <c r="G48" s="115">
        <f t="shared" ref="G48:K48" si="15">G46*G47</f>
        <v>-2478.364537</v>
      </c>
      <c r="H48" s="115">
        <f t="shared" si="15"/>
        <v>-4408.829402</v>
      </c>
      <c r="I48" s="115">
        <f t="shared" si="15"/>
        <v>-6169.7957</v>
      </c>
      <c r="J48" s="115">
        <f t="shared" si="15"/>
        <v>-7799.89543</v>
      </c>
      <c r="K48" s="115">
        <f t="shared" si="15"/>
        <v>-9381.452295</v>
      </c>
    </row>
    <row r="49">
      <c r="A49" s="115" t="s">
        <v>378</v>
      </c>
      <c r="B49" s="116"/>
      <c r="C49" s="116"/>
      <c r="D49" s="116"/>
      <c r="E49" s="116">
        <f>Assumptions!$B$217*(E58-1)</f>
        <v>-0.001214756329</v>
      </c>
      <c r="F49" s="116"/>
      <c r="G49" s="116">
        <f>Assumptions!$B$217*(G58-1)</f>
        <v>-0.003556448026</v>
      </c>
      <c r="H49" s="116">
        <f>Assumptions!$B$217*(H58-1)</f>
        <v>-0.00578573852</v>
      </c>
      <c r="I49" s="116">
        <f>Assumptions!$B$217*(I58-1)</f>
        <v>-0.007908023071</v>
      </c>
      <c r="J49" s="116">
        <f>Assumptions!$B$217*(J58-1)</f>
        <v>-0.009928437964</v>
      </c>
      <c r="K49" s="116">
        <f>Assumptions!$B$217*(K58-1)</f>
        <v>-0.01185187294</v>
      </c>
    </row>
    <row r="50">
      <c r="A50" s="115" t="s">
        <v>379</v>
      </c>
      <c r="B50" s="115"/>
      <c r="C50" s="115"/>
      <c r="D50" s="115"/>
      <c r="E50" s="115">
        <f>E12*E49</f>
        <v>-256.4275104</v>
      </c>
      <c r="F50" s="115">
        <f>E50</f>
        <v>-256.4275104</v>
      </c>
      <c r="G50" s="115">
        <f t="shared" ref="G50:K50" si="16">G12*G49</f>
        <v>-1593.174528</v>
      </c>
      <c r="H50" s="115">
        <f t="shared" si="16"/>
        <v>-2896.775461</v>
      </c>
      <c r="I50" s="115">
        <f t="shared" si="16"/>
        <v>-4368.071384</v>
      </c>
      <c r="J50" s="115">
        <f t="shared" si="16"/>
        <v>-5956.455653</v>
      </c>
      <c r="K50" s="115">
        <f t="shared" si="16"/>
        <v>-7658.739439</v>
      </c>
    </row>
    <row r="52" ht="31.5" customHeight="1">
      <c r="A52" s="117" t="s">
        <v>380</v>
      </c>
    </row>
    <row r="54" ht="21.0" customHeight="1">
      <c r="A54" s="80" t="s">
        <v>381</v>
      </c>
      <c r="B54" s="118"/>
      <c r="C54" s="118"/>
      <c r="D54" s="118"/>
      <c r="E54" s="118"/>
      <c r="F54" s="118"/>
      <c r="G54" s="118"/>
      <c r="H54" s="118"/>
      <c r="I54" s="118"/>
      <c r="J54" s="118"/>
      <c r="K54" s="118"/>
    </row>
    <row r="55" ht="21.0" customHeight="1">
      <c r="A55" s="81" t="s">
        <v>382</v>
      </c>
      <c r="B55" s="87"/>
      <c r="C55" s="87"/>
      <c r="D55" s="87"/>
      <c r="E55" s="87">
        <f>'Historical base'!$E$10/SUM('Historical base'!$E$8:$E$10)</f>
        <v>0.08984025881</v>
      </c>
      <c r="F55" s="87"/>
      <c r="G55" s="87">
        <f>'Historical base'!$E$10/SUM('Historical base'!$E$8:$E$10)</f>
        <v>0.08984025881</v>
      </c>
      <c r="H55" s="87">
        <f>'Historical base'!$E$10/SUM('Historical base'!$E$8:$E$10)</f>
        <v>0.08984025881</v>
      </c>
      <c r="I55" s="87">
        <f>'Historical base'!$E$10/SUM('Historical base'!$E$8:$E$10)</f>
        <v>0.08984025881</v>
      </c>
      <c r="J55" s="87">
        <f>'Historical base'!$E$10/SUM('Historical base'!$E$8:$E$10)</f>
        <v>0.08984025881</v>
      </c>
      <c r="K55" s="87">
        <f>'Historical base'!$E$10/SUM('Historical base'!$E$8:$E$10)</f>
        <v>0.08984025881</v>
      </c>
    </row>
    <row r="56" ht="21.0" customHeight="1">
      <c r="A56" s="81" t="s">
        <v>383</v>
      </c>
      <c r="B56" s="87"/>
      <c r="C56" s="87"/>
      <c r="D56" s="87"/>
      <c r="E56" s="87">
        <f>E10/E46</f>
        <v>0.08236093881</v>
      </c>
      <c r="F56" s="87"/>
      <c r="G56" s="87">
        <f t="shared" ref="G56:K56" si="17">G10/G46</f>
        <v>0.0736726859</v>
      </c>
      <c r="H56" s="87">
        <f t="shared" si="17"/>
        <v>0.0640589689</v>
      </c>
      <c r="I56" s="87">
        <f t="shared" si="17"/>
        <v>0.05705206562</v>
      </c>
      <c r="J56" s="87">
        <f t="shared" si="17"/>
        <v>0.05159155859</v>
      </c>
      <c r="K56" s="87">
        <f t="shared" si="17"/>
        <v>0.04703926883</v>
      </c>
    </row>
    <row r="57" ht="21.0" customHeight="1">
      <c r="A57" s="81" t="s">
        <v>384</v>
      </c>
      <c r="B57" s="87"/>
      <c r="C57" s="87"/>
      <c r="D57" s="87"/>
      <c r="E57" s="87">
        <f>(E56-E55)*Assumptions!$B$227</f>
        <v>-0.002991727998</v>
      </c>
      <c r="F57" s="87"/>
      <c r="G57" s="87">
        <f>(G56-G55)*Assumptions!$B$227</f>
        <v>-0.006467029164</v>
      </c>
      <c r="H57" s="87">
        <f>(H56-H55)*Assumptions!$B$227</f>
        <v>-0.01031251597</v>
      </c>
      <c r="I57" s="87">
        <f>(I56-I55)*Assumptions!$B$227</f>
        <v>-0.01311527727</v>
      </c>
      <c r="J57" s="87">
        <f>(J56-J55)*Assumptions!$B$227</f>
        <v>-0.01529948009</v>
      </c>
      <c r="K57" s="87">
        <f>(K56-K55)*Assumptions!$B$227</f>
        <v>-0.01712039599</v>
      </c>
    </row>
    <row r="58" ht="21.0" customHeight="1">
      <c r="A58" s="81" t="s">
        <v>385</v>
      </c>
      <c r="B58" s="87"/>
      <c r="C58" s="87"/>
      <c r="D58" s="87"/>
      <c r="E58" s="87">
        <f>((1-Assumptions!$B$207)*(1+Assumptions!$B$212))^0.5</f>
        <v>0.9757048734</v>
      </c>
      <c r="F58" s="87">
        <f>E58</f>
        <v>0.9757048734</v>
      </c>
      <c r="G58" s="87">
        <f>F58*(1-Assumptions!$B$207)*(1+Assumptions!$B$212)</f>
        <v>0.9288710395</v>
      </c>
      <c r="H58" s="87">
        <f>G58*(1-Assumptions!$B$207)*(1+Assumptions!$B$212)</f>
        <v>0.8842852296</v>
      </c>
      <c r="I58" s="87">
        <f>H58*(1-Assumptions!$B$207)*(1+Assumptions!$B$212)</f>
        <v>0.8418395386</v>
      </c>
      <c r="J58" s="87">
        <f>I58*(1-Assumptions!$B$207)*(1+Assumptions!$B$212)</f>
        <v>0.8014312407</v>
      </c>
      <c r="K58" s="87">
        <f>J58*(1-Assumptions!$B$207)*(1+Assumptions!$B$212)</f>
        <v>0.7629625412</v>
      </c>
    </row>
    <row r="59" ht="21.0" customHeight="1">
      <c r="A59" s="83"/>
      <c r="B59" s="83"/>
      <c r="C59" s="83"/>
      <c r="D59" s="83"/>
      <c r="E59" s="83"/>
      <c r="F59" s="83"/>
      <c r="G59" s="83"/>
      <c r="H59" s="83"/>
      <c r="I59" s="83"/>
      <c r="J59" s="83"/>
      <c r="K59" s="83"/>
    </row>
    <row r="60" ht="21.0" customHeight="1">
      <c r="A60" s="80" t="s">
        <v>386</v>
      </c>
      <c r="B60" s="118"/>
      <c r="C60" s="118"/>
      <c r="D60" s="118"/>
      <c r="E60" s="118"/>
      <c r="F60" s="118"/>
      <c r="G60" s="118"/>
      <c r="H60" s="118"/>
      <c r="I60" s="118"/>
      <c r="J60" s="118"/>
      <c r="K60" s="118"/>
    </row>
    <row r="61" ht="21.0" customHeight="1">
      <c r="A61" s="81" t="s">
        <v>387</v>
      </c>
      <c r="B61" s="119"/>
      <c r="C61" s="119"/>
      <c r="D61" s="119"/>
      <c r="E61" s="119">
        <f>'Cloud demand'!B31</f>
        <v>272338.0077</v>
      </c>
      <c r="F61" s="119">
        <f>C16+E61</f>
        <v>502030.0077</v>
      </c>
      <c r="G61" s="119">
        <f>'Cloud demand'!C31</f>
        <v>606897.0739</v>
      </c>
      <c r="H61" s="119">
        <f>'Cloud demand'!D31</f>
        <v>699076.1834</v>
      </c>
      <c r="I61" s="119">
        <f>'Cloud demand'!E31</f>
        <v>790249.726</v>
      </c>
      <c r="J61" s="119">
        <f>'Cloud demand'!F31</f>
        <v>875765.503</v>
      </c>
      <c r="K61" s="119">
        <f>'Cloud demand'!G31</f>
        <v>955084.623</v>
      </c>
    </row>
    <row r="62" ht="21.0" customHeight="1">
      <c r="A62" s="81" t="s">
        <v>388</v>
      </c>
      <c r="B62" s="119"/>
      <c r="C62" s="119"/>
      <c r="D62" s="119"/>
      <c r="E62" s="119">
        <f>ABS($C$23)*Assumptions!$B$220*(1+Assumptions!$B$222)</f>
        <v>9838.4</v>
      </c>
      <c r="F62" s="119">
        <f>ABS(C23)*Assumptions!B220+E62</f>
        <v>18782.4</v>
      </c>
      <c r="G62" s="119">
        <f>F62*(1+(G61/F61-1)*Assumptions!C52)</f>
        <v>21921.1051</v>
      </c>
      <c r="H62" s="119">
        <f>G62*(1+(H61/G61-1)*Assumptions!D52)</f>
        <v>24584.71056</v>
      </c>
      <c r="I62" s="119">
        <f>H62*(1+(I61/H61-1)*Assumptions!E52)</f>
        <v>27149.78168</v>
      </c>
      <c r="J62" s="119">
        <f>I62*(1+(J61/I61-1)*Assumptions!F52)</f>
        <v>29500.16242</v>
      </c>
      <c r="K62" s="119">
        <f>J62*(1+(K61/J61-1)*Assumptions!G52)</f>
        <v>31637.65417</v>
      </c>
    </row>
    <row r="63" ht="21.0" customHeight="1">
      <c r="A63" s="81" t="s">
        <v>389</v>
      </c>
      <c r="B63" s="119"/>
      <c r="C63" s="119"/>
      <c r="D63" s="119"/>
      <c r="E63" s="119">
        <f>ABS($C$23)*(1-Assumptions!$B$220)*(1+Assumptions!$B$221)^0.5</f>
        <v>2269.292154</v>
      </c>
      <c r="F63" s="119">
        <f>ABS(C23)*(1-Assumptions!B220)+E63</f>
        <v>4505.292154</v>
      </c>
      <c r="G63" s="119">
        <f>F63*(1+Assumptions!$B$221)</f>
        <v>4640.450919</v>
      </c>
      <c r="H63" s="119">
        <f>G63*(1+Assumptions!$B$221)</f>
        <v>4779.664446</v>
      </c>
      <c r="I63" s="119">
        <f>H63*(1+Assumptions!$B$221)</f>
        <v>4923.05438</v>
      </c>
      <c r="J63" s="119">
        <f>I63*(1+Assumptions!$B$221)</f>
        <v>5070.746011</v>
      </c>
      <c r="K63" s="119">
        <f>J63*(1+Assumptions!$B$221)</f>
        <v>5222.868391</v>
      </c>
    </row>
    <row r="64" ht="21.0" customHeight="1">
      <c r="A64" s="81" t="s">
        <v>390</v>
      </c>
      <c r="B64" s="119"/>
      <c r="C64" s="119"/>
      <c r="D64" s="119"/>
      <c r="E64" s="119">
        <f t="shared" ref="E64:K64" si="18">SUM(E62:E63)</f>
        <v>12107.69215</v>
      </c>
      <c r="F64" s="119">
        <f t="shared" si="18"/>
        <v>23287.69215</v>
      </c>
      <c r="G64" s="119">
        <f t="shared" si="18"/>
        <v>26561.55602</v>
      </c>
      <c r="H64" s="119">
        <f t="shared" si="18"/>
        <v>29364.37501</v>
      </c>
      <c r="I64" s="119">
        <f t="shared" si="18"/>
        <v>32072.83605</v>
      </c>
      <c r="J64" s="119">
        <f t="shared" si="18"/>
        <v>34570.90843</v>
      </c>
      <c r="K64" s="119">
        <f t="shared" si="18"/>
        <v>36860.52256</v>
      </c>
    </row>
    <row r="65" ht="21.0" customHeight="1">
      <c r="A65" s="83"/>
      <c r="B65" s="83"/>
      <c r="C65" s="83"/>
      <c r="D65" s="83"/>
      <c r="E65" s="83"/>
      <c r="F65" s="83"/>
      <c r="G65" s="83"/>
      <c r="H65" s="83"/>
      <c r="I65" s="83"/>
      <c r="J65" s="83"/>
      <c r="K65" s="83"/>
    </row>
    <row r="66" ht="27.0" customHeight="1">
      <c r="A66" s="81" t="s">
        <v>391</v>
      </c>
    </row>
    <row r="67" ht="27.0" customHeight="1">
      <c r="A67" s="81" t="s">
        <v>392</v>
      </c>
    </row>
    <row r="68" ht="27.0" customHeight="1">
      <c r="A68" s="81" t="s">
        <v>393</v>
      </c>
    </row>
    <row r="69" ht="27.0" customHeight="1">
      <c r="A69" s="81" t="s">
        <v>394</v>
      </c>
    </row>
  </sheetData>
  <mergeCells count="10">
    <mergeCell ref="A67:K67"/>
    <mergeCell ref="A68:K68"/>
    <mergeCell ref="A69:K69"/>
    <mergeCell ref="A1:K1"/>
    <mergeCell ref="A2:K2"/>
    <mergeCell ref="A41:K41"/>
    <mergeCell ref="A42:K42"/>
    <mergeCell ref="A43:K43"/>
    <mergeCell ref="A52:K52"/>
    <mergeCell ref="A66:K6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3.88"/>
    <col customWidth="1" min="2" max="7" width="15.13"/>
    <col customWidth="1" min="8" max="8" width="41.38"/>
  </cols>
  <sheetData>
    <row r="1" ht="27.0" customHeight="1">
      <c r="A1" s="80" t="s">
        <v>395</v>
      </c>
    </row>
    <row r="2" ht="30.0" customHeight="1">
      <c r="A2" s="81" t="s">
        <v>396</v>
      </c>
    </row>
    <row r="3" ht="21.0" customHeight="1">
      <c r="A3" s="81" t="s">
        <v>2</v>
      </c>
      <c r="B3" s="83" t="str">
        <f>Assumptions!B3</f>
        <v>Base</v>
      </c>
      <c r="C3" s="83"/>
      <c r="D3" s="83"/>
      <c r="E3" s="83"/>
      <c r="F3" s="83"/>
      <c r="G3" s="83"/>
      <c r="H3" s="83"/>
    </row>
    <row r="4" ht="21.0" customHeight="1">
      <c r="A4" s="81" t="s">
        <v>3</v>
      </c>
      <c r="B4" s="120">
        <f>Assumptions!B4</f>
        <v>46320</v>
      </c>
      <c r="C4" s="83"/>
      <c r="D4" s="83"/>
      <c r="E4" s="83"/>
      <c r="F4" s="83"/>
      <c r="G4" s="83"/>
      <c r="H4" s="83"/>
    </row>
    <row r="5" ht="21.0" customHeight="1">
      <c r="A5" s="83"/>
      <c r="B5" s="83"/>
      <c r="C5" s="83"/>
      <c r="D5" s="83"/>
      <c r="E5" s="83"/>
      <c r="F5" s="83"/>
      <c r="G5" s="83"/>
      <c r="H5" s="83"/>
    </row>
    <row r="6" ht="21.0" customHeight="1">
      <c r="A6" s="80" t="s">
        <v>397</v>
      </c>
      <c r="B6" s="80" t="s">
        <v>49</v>
      </c>
      <c r="C6" s="121" t="s">
        <v>50</v>
      </c>
      <c r="D6" s="121" t="s">
        <v>51</v>
      </c>
      <c r="E6" s="121" t="s">
        <v>52</v>
      </c>
      <c r="F6" s="121" t="s">
        <v>53</v>
      </c>
      <c r="G6" s="121" t="s">
        <v>54</v>
      </c>
      <c r="H6" s="80" t="s">
        <v>6</v>
      </c>
    </row>
    <row r="7" ht="31.5" customHeight="1">
      <c r="A7" s="81" t="s">
        <v>398</v>
      </c>
      <c r="B7" s="122">
        <f>'Sources and basis'!$B$92</f>
        <v>513900</v>
      </c>
      <c r="C7" s="122">
        <f>'Sources and basis'!$B$92</f>
        <v>513900</v>
      </c>
      <c r="D7" s="122">
        <f>'Sources and basis'!$B$92</f>
        <v>513900</v>
      </c>
      <c r="E7" s="122">
        <f>'Sources and basis'!$B$92</f>
        <v>513900</v>
      </c>
      <c r="F7" s="122">
        <f>'Sources and basis'!$B$92</f>
        <v>513900</v>
      </c>
      <c r="G7" s="122">
        <f>'Sources and basis'!$B$92</f>
        <v>513900</v>
      </c>
      <c r="H7" s="83"/>
    </row>
    <row r="8" ht="31.5" customHeight="1">
      <c r="A8" s="81" t="s">
        <v>399</v>
      </c>
      <c r="B8" s="123">
        <f>Assumptions!B167</f>
        <v>0.1</v>
      </c>
      <c r="C8" s="123">
        <f>Assumptions!C167</f>
        <v>0.26</v>
      </c>
      <c r="D8" s="123">
        <f>Assumptions!D167</f>
        <v>0.24</v>
      </c>
      <c r="E8" s="123">
        <f>Assumptions!E167</f>
        <v>0.18</v>
      </c>
      <c r="F8" s="123">
        <f>Assumptions!F167</f>
        <v>0.13</v>
      </c>
      <c r="G8" s="123">
        <f>Assumptions!G167</f>
        <v>0.09</v>
      </c>
      <c r="H8" s="83"/>
    </row>
    <row r="9" ht="31.5" customHeight="1">
      <c r="A9" s="81" t="s">
        <v>400</v>
      </c>
      <c r="B9" s="122">
        <f t="shared" ref="B9:G9" si="1">B7*B8</f>
        <v>51390</v>
      </c>
      <c r="C9" s="122">
        <f t="shared" si="1"/>
        <v>133614</v>
      </c>
      <c r="D9" s="122">
        <f t="shared" si="1"/>
        <v>123336</v>
      </c>
      <c r="E9" s="122">
        <f t="shared" si="1"/>
        <v>92502</v>
      </c>
      <c r="F9" s="122">
        <f t="shared" si="1"/>
        <v>66807</v>
      </c>
      <c r="G9" s="122">
        <f t="shared" si="1"/>
        <v>46251</v>
      </c>
      <c r="H9" s="83"/>
    </row>
    <row r="10" ht="31.5" customHeight="1">
      <c r="A10" s="81" t="s">
        <v>401</v>
      </c>
      <c r="B10" s="123">
        <f>Assumptions!B27</f>
        <v>0.7306444135</v>
      </c>
      <c r="C10" s="123">
        <f>Assumptions!C27</f>
        <v>0.35</v>
      </c>
      <c r="D10" s="123">
        <f>Assumptions!D27</f>
        <v>0.25</v>
      </c>
      <c r="E10" s="123">
        <f>Assumptions!E27</f>
        <v>0.2</v>
      </c>
      <c r="F10" s="123">
        <f>Assumptions!F27</f>
        <v>0.16</v>
      </c>
      <c r="G10" s="123">
        <f>Assumptions!G27</f>
        <v>0.12</v>
      </c>
      <c r="H10" s="83"/>
    </row>
    <row r="11" ht="31.5" customHeight="1">
      <c r="A11" s="81" t="s">
        <v>402</v>
      </c>
      <c r="B11" s="122">
        <f>('Historical base'!C13-'Historical base'!D13)*(1+B10)</f>
        <v>56801.4803</v>
      </c>
      <c r="C11" s="122">
        <f>('Historical base'!E13+B12)*(1+C10)</f>
        <v>142094.0118</v>
      </c>
      <c r="D11" s="122">
        <f t="shared" ref="D11:G11" si="2">C12*(1+D10)</f>
        <v>196491.1765</v>
      </c>
      <c r="E11" s="122">
        <f t="shared" si="2"/>
        <v>235789.4118</v>
      </c>
      <c r="F11" s="122">
        <f t="shared" si="2"/>
        <v>273515.7176</v>
      </c>
      <c r="G11" s="122">
        <f t="shared" si="2"/>
        <v>306337.6038</v>
      </c>
      <c r="H11" s="83"/>
    </row>
    <row r="12" ht="31.5" customHeight="1">
      <c r="A12" s="85" t="s">
        <v>403</v>
      </c>
      <c r="B12" s="124">
        <f>MAX(B11,B9/(1-Assumptions!$B$171))</f>
        <v>60458.82353</v>
      </c>
      <c r="C12" s="124">
        <f>MAX(C11,C9/(1-Assumptions!$B$171))</f>
        <v>157192.9412</v>
      </c>
      <c r="D12" s="124">
        <f>MAX(D11,D9/(1-Assumptions!$B$171))</f>
        <v>196491.1765</v>
      </c>
      <c r="E12" s="124">
        <f>MAX(E11,E9/(1-Assumptions!$B$171))</f>
        <v>235789.4118</v>
      </c>
      <c r="F12" s="124">
        <f>MAX(F11,F9/(1-Assumptions!$B$171))</f>
        <v>273515.7176</v>
      </c>
      <c r="G12" s="124">
        <f>MAX(G11,G9/(1-Assumptions!$B$171))</f>
        <v>306337.6038</v>
      </c>
      <c r="H12" s="125"/>
    </row>
    <row r="13" ht="31.5" customHeight="1">
      <c r="A13" s="81" t="s">
        <v>404</v>
      </c>
      <c r="B13" s="122">
        <f t="shared" ref="B13:G13" si="3">B12-B9</f>
        <v>9068.823529</v>
      </c>
      <c r="C13" s="122">
        <f t="shared" si="3"/>
        <v>23578.94118</v>
      </c>
      <c r="D13" s="122">
        <f t="shared" si="3"/>
        <v>73155.17647</v>
      </c>
      <c r="E13" s="122">
        <f t="shared" si="3"/>
        <v>143287.4118</v>
      </c>
      <c r="F13" s="122">
        <f t="shared" si="3"/>
        <v>206708.7176</v>
      </c>
      <c r="G13" s="122">
        <f t="shared" si="3"/>
        <v>260086.6038</v>
      </c>
      <c r="H13" s="83"/>
    </row>
    <row r="14" ht="31.5" customHeight="1">
      <c r="A14" s="81" t="s">
        <v>405</v>
      </c>
      <c r="B14" s="122">
        <f>B7</f>
        <v>513900</v>
      </c>
      <c r="C14" s="122">
        <f t="shared" ref="C14:G14" si="4">B23</f>
        <v>463023.9</v>
      </c>
      <c r="D14" s="122">
        <f t="shared" si="4"/>
        <v>330237.279</v>
      </c>
      <c r="E14" s="122">
        <f t="shared" si="4"/>
        <v>206806.7728</v>
      </c>
      <c r="F14" s="122">
        <f t="shared" si="4"/>
        <v>113995.4877</v>
      </c>
      <c r="G14" s="122">
        <f t="shared" si="4"/>
        <v>46928.44488</v>
      </c>
      <c r="H14" s="83"/>
    </row>
    <row r="15" ht="31.5" customHeight="1">
      <c r="A15" s="81" t="s">
        <v>406</v>
      </c>
      <c r="B15" s="122">
        <f>0</f>
        <v>0</v>
      </c>
      <c r="C15" s="122">
        <f t="shared" ref="C15:G15" si="5">B24</f>
        <v>513.9</v>
      </c>
      <c r="D15" s="122">
        <f t="shared" si="5"/>
        <v>1341.279</v>
      </c>
      <c r="E15" s="122">
        <f t="shared" si="5"/>
        <v>1246.77279</v>
      </c>
      <c r="F15" s="122">
        <f t="shared" si="5"/>
        <v>937.4877279</v>
      </c>
      <c r="G15" s="122">
        <f t="shared" si="5"/>
        <v>677.4448773</v>
      </c>
      <c r="H15" s="83"/>
    </row>
    <row r="16" ht="31.5" customHeight="1">
      <c r="A16" s="81" t="s">
        <v>407</v>
      </c>
      <c r="B16" s="122">
        <f t="shared" ref="B16:G16" si="6">B9+B15</f>
        <v>51390</v>
      </c>
      <c r="C16" s="122">
        <f t="shared" si="6"/>
        <v>134127.9</v>
      </c>
      <c r="D16" s="122">
        <f t="shared" si="6"/>
        <v>124677.279</v>
      </c>
      <c r="E16" s="122">
        <f t="shared" si="6"/>
        <v>93748.77279</v>
      </c>
      <c r="F16" s="122">
        <f t="shared" si="6"/>
        <v>67744.48773</v>
      </c>
      <c r="G16" s="122">
        <f t="shared" si="6"/>
        <v>46928.44488</v>
      </c>
      <c r="H16" s="83"/>
    </row>
    <row r="17" ht="31.5" customHeight="1">
      <c r="A17" s="84" t="s">
        <v>408</v>
      </c>
      <c r="B17" s="122">
        <f>B31/'Capital and FCFF'!B7*Assumptions!B234</f>
        <v>214874.6881</v>
      </c>
      <c r="C17" s="122">
        <f>C31/'Capital and FCFF'!C7*Assumptions!C234</f>
        <v>289611.2837</v>
      </c>
      <c r="D17" s="122">
        <f>D31/'Capital and FCFF'!D7*Assumptions!D234</f>
        <v>403506.7731</v>
      </c>
      <c r="E17" s="122">
        <f>E31/'Capital and FCFF'!E7*Assumptions!E234</f>
        <v>513346.222</v>
      </c>
      <c r="F17" s="122">
        <f>F31/'Capital and FCFF'!F7*Assumptions!F234</f>
        <v>617151.9499</v>
      </c>
      <c r="G17" s="122">
        <f>G31/'Capital and FCFF'!G7*Assumptions!G234</f>
        <v>702942.2825</v>
      </c>
      <c r="H17" s="83"/>
    </row>
    <row r="18" ht="31.5" customHeight="1">
      <c r="A18" s="84" t="s">
        <v>409</v>
      </c>
      <c r="B18" s="122">
        <f>AVERAGE('Capital and FCFF'!B20-'Capital and FCFF'!B13,'Capital and FCFF'!B27)</f>
        <v>214897.1463</v>
      </c>
      <c r="C18" s="122">
        <f>AVERAGE('Capital and FCFF'!C20-'Capital and FCFF'!C13,'Capital and FCFF'!C27)</f>
        <v>289657.1856</v>
      </c>
      <c r="D18" s="122">
        <f>AVERAGE('Capital and FCFF'!D20-'Capital and FCFF'!D13,'Capital and FCFF'!D27)</f>
        <v>403572.8784</v>
      </c>
      <c r="E18" s="122">
        <f>AVERAGE('Capital and FCFF'!E20-'Capital and FCFF'!E13,'Capital and FCFF'!E27)</f>
        <v>513374.7566</v>
      </c>
      <c r="F18" s="122">
        <f>AVERAGE('Capital and FCFF'!F20-'Capital and FCFF'!F13,'Capital and FCFF'!F27)</f>
        <v>617205.1699</v>
      </c>
      <c r="G18" s="122">
        <f>AVERAGE('Capital and FCFF'!G20-'Capital and FCFF'!G13,'Capital and FCFF'!G27)</f>
        <v>702953.2433</v>
      </c>
      <c r="H18" s="83"/>
    </row>
    <row r="19" ht="31.5" customHeight="1">
      <c r="A19" s="84" t="s">
        <v>410</v>
      </c>
      <c r="B19" s="123">
        <f t="shared" ref="B19:G19" si="7">IF(B17&gt;0,MIN(1,B18/B17),1)</f>
        <v>1</v>
      </c>
      <c r="C19" s="123">
        <f t="shared" si="7"/>
        <v>1</v>
      </c>
      <c r="D19" s="123">
        <f t="shared" si="7"/>
        <v>1</v>
      </c>
      <c r="E19" s="123">
        <f t="shared" si="7"/>
        <v>1</v>
      </c>
      <c r="F19" s="123">
        <f t="shared" si="7"/>
        <v>1</v>
      </c>
      <c r="G19" s="123">
        <f t="shared" si="7"/>
        <v>1</v>
      </c>
      <c r="H19" s="83"/>
    </row>
    <row r="20" ht="31.5" customHeight="1">
      <c r="A20" s="81" t="s">
        <v>411</v>
      </c>
      <c r="B20" s="123">
        <f>1-Assumptions!$B$187+Assumptions!$B$187*B19</f>
        <v>1</v>
      </c>
      <c r="C20" s="123">
        <f>1-Assumptions!$B$187+Assumptions!$B$187*C19</f>
        <v>1</v>
      </c>
      <c r="D20" s="123">
        <f>1-Assumptions!$B$187+Assumptions!$B$187*D19</f>
        <v>1</v>
      </c>
      <c r="E20" s="123">
        <f>1-Assumptions!$B$187+Assumptions!$B$187*E19</f>
        <v>1</v>
      </c>
      <c r="F20" s="123">
        <f>1-Assumptions!$B$187+Assumptions!$B$187*F19</f>
        <v>1</v>
      </c>
      <c r="G20" s="123">
        <f>1-Assumptions!$B$187+Assumptions!$B$187*G19</f>
        <v>1</v>
      </c>
      <c r="H20" s="83"/>
    </row>
    <row r="21" ht="31.5" customHeight="1">
      <c r="A21" s="81" t="s">
        <v>412</v>
      </c>
      <c r="B21" s="123">
        <f>1-Assumptions!$B$172*Assumptions!$B$177</f>
        <v>0.99</v>
      </c>
      <c r="C21" s="123">
        <f>1-Assumptions!$B$172*Assumptions!$B$177</f>
        <v>0.99</v>
      </c>
      <c r="D21" s="123">
        <f>1-Assumptions!$B$172*Assumptions!$B$177</f>
        <v>0.99</v>
      </c>
      <c r="E21" s="123">
        <f>1-Assumptions!$B$172*Assumptions!$B$177</f>
        <v>0.99</v>
      </c>
      <c r="F21" s="123">
        <f>1-Assumptions!$B$172*Assumptions!$B$177</f>
        <v>0.99</v>
      </c>
      <c r="G21" s="123">
        <f>1-Assumptions!$B$172*Assumptions!$B$177</f>
        <v>0.99</v>
      </c>
      <c r="H21" s="83"/>
    </row>
    <row r="22" ht="31.5" customHeight="1">
      <c r="A22" s="85" t="s">
        <v>413</v>
      </c>
      <c r="B22" s="124">
        <f t="shared" ref="B22:G22" si="8">MIN(B14,B16*B20*B21)</f>
        <v>50876.1</v>
      </c>
      <c r="C22" s="124">
        <f t="shared" si="8"/>
        <v>132786.621</v>
      </c>
      <c r="D22" s="124">
        <f t="shared" si="8"/>
        <v>123430.5062</v>
      </c>
      <c r="E22" s="124">
        <f t="shared" si="8"/>
        <v>92811.28506</v>
      </c>
      <c r="F22" s="124">
        <f t="shared" si="8"/>
        <v>67067.04285</v>
      </c>
      <c r="G22" s="124">
        <f t="shared" si="8"/>
        <v>46459.16043</v>
      </c>
      <c r="H22" s="125"/>
    </row>
    <row r="23" ht="31.5" customHeight="1">
      <c r="A23" s="81" t="s">
        <v>414</v>
      </c>
      <c r="B23" s="122">
        <f t="shared" ref="B23:G23" si="9">B14-B22</f>
        <v>463023.9</v>
      </c>
      <c r="C23" s="122">
        <f t="shared" si="9"/>
        <v>330237.279</v>
      </c>
      <c r="D23" s="122">
        <f t="shared" si="9"/>
        <v>206806.7728</v>
      </c>
      <c r="E23" s="122">
        <f t="shared" si="9"/>
        <v>113995.4877</v>
      </c>
      <c r="F23" s="122">
        <f t="shared" si="9"/>
        <v>46928.44488</v>
      </c>
      <c r="G23" s="122">
        <f t="shared" si="9"/>
        <v>469.2844488</v>
      </c>
      <c r="H23" s="83"/>
    </row>
    <row r="24" ht="31.5" customHeight="1">
      <c r="A24" s="81" t="s">
        <v>415</v>
      </c>
      <c r="B24" s="122">
        <f t="shared" ref="B24:G24" si="10">MAX(0,B16-B22)</f>
        <v>513.9</v>
      </c>
      <c r="C24" s="122">
        <f t="shared" si="10"/>
        <v>1341.279</v>
      </c>
      <c r="D24" s="122">
        <f t="shared" si="10"/>
        <v>1246.77279</v>
      </c>
      <c r="E24" s="122">
        <f t="shared" si="10"/>
        <v>937.4877279</v>
      </c>
      <c r="F24" s="122">
        <f t="shared" si="10"/>
        <v>677.4448773</v>
      </c>
      <c r="G24" s="122">
        <f t="shared" si="10"/>
        <v>469.2844488</v>
      </c>
      <c r="H24" s="83"/>
    </row>
    <row r="25" ht="31.5" customHeight="1">
      <c r="A25" s="81" t="s">
        <v>416</v>
      </c>
      <c r="B25" s="122">
        <f t="shared" ref="B25:G25" si="11">B13*MIN(1,B20)</f>
        <v>9068.823529</v>
      </c>
      <c r="C25" s="122">
        <f t="shared" si="11"/>
        <v>23578.94118</v>
      </c>
      <c r="D25" s="122">
        <f t="shared" si="11"/>
        <v>73155.17647</v>
      </c>
      <c r="E25" s="122">
        <f t="shared" si="11"/>
        <v>143287.4118</v>
      </c>
      <c r="F25" s="122">
        <f t="shared" si="11"/>
        <v>206708.7176</v>
      </c>
      <c r="G25" s="122">
        <f t="shared" si="11"/>
        <v>260086.6038</v>
      </c>
      <c r="H25" s="83"/>
    </row>
    <row r="26" ht="31.5" customHeight="1">
      <c r="A26" s="81" t="s">
        <v>417</v>
      </c>
      <c r="B26" s="122">
        <f>B25*Assumptions!$B$172*Assumptions!$B$182</f>
        <v>181.3764706</v>
      </c>
      <c r="C26" s="122">
        <f>C25*Assumptions!$B$172*Assumptions!$B$182</f>
        <v>471.5788235</v>
      </c>
      <c r="D26" s="122">
        <f>D25*Assumptions!$B$172*Assumptions!$B$182</f>
        <v>1463.103529</v>
      </c>
      <c r="E26" s="122">
        <f>E25*Assumptions!$B$172*Assumptions!$B$182</f>
        <v>2865.748235</v>
      </c>
      <c r="F26" s="122">
        <f>F25*Assumptions!$B$172*Assumptions!$B$182</f>
        <v>4134.174353</v>
      </c>
      <c r="G26" s="122">
        <f>G25*Assumptions!$B$172*Assumptions!$B$182</f>
        <v>5201.732075</v>
      </c>
      <c r="H26" s="83"/>
    </row>
    <row r="27" ht="31.5" customHeight="1">
      <c r="A27" s="81" t="s">
        <v>418</v>
      </c>
      <c r="B27" s="122">
        <f t="shared" ref="B27:G27" si="12">B25-B26</f>
        <v>8887.447059</v>
      </c>
      <c r="C27" s="122">
        <f t="shared" si="12"/>
        <v>23107.36235</v>
      </c>
      <c r="D27" s="122">
        <f t="shared" si="12"/>
        <v>71692.07294</v>
      </c>
      <c r="E27" s="122">
        <f t="shared" si="12"/>
        <v>140421.6635</v>
      </c>
      <c r="F27" s="122">
        <f t="shared" si="12"/>
        <v>202574.5433</v>
      </c>
      <c r="G27" s="122">
        <f t="shared" si="12"/>
        <v>254884.8717</v>
      </c>
      <c r="H27" s="83"/>
    </row>
    <row r="28" ht="31.5" customHeight="1">
      <c r="A28" s="85" t="s">
        <v>419</v>
      </c>
      <c r="B28" s="124">
        <f t="shared" ref="B28:G28" si="13">SUM(B22,B27)</f>
        <v>59763.54706</v>
      </c>
      <c r="C28" s="124">
        <f t="shared" si="13"/>
        <v>155893.9834</v>
      </c>
      <c r="D28" s="124">
        <f t="shared" si="13"/>
        <v>195122.5792</v>
      </c>
      <c r="E28" s="124">
        <f t="shared" si="13"/>
        <v>233232.9486</v>
      </c>
      <c r="F28" s="124">
        <f t="shared" si="13"/>
        <v>269641.5861</v>
      </c>
      <c r="G28" s="124">
        <f t="shared" si="13"/>
        <v>301344.0321</v>
      </c>
      <c r="H28" s="125"/>
    </row>
    <row r="29" ht="31.5" customHeight="1">
      <c r="A29" s="81" t="s">
        <v>420</v>
      </c>
      <c r="B29" s="123">
        <f>B28/('Historical base'!C13-'Historical base'!D13)-1</f>
        <v>0.8208935456</v>
      </c>
      <c r="C29" s="123">
        <f>C28/('Historical base'!E13+B28)-1</f>
        <v>0.4909588626</v>
      </c>
      <c r="D29" s="123">
        <f t="shared" ref="D29:G29" si="14">D28/C28-1</f>
        <v>0.2516363682</v>
      </c>
      <c r="E29" s="123">
        <f t="shared" si="14"/>
        <v>0.1953150148</v>
      </c>
      <c r="F29" s="123">
        <f t="shared" si="14"/>
        <v>0.1561041773</v>
      </c>
      <c r="G29" s="123">
        <f t="shared" si="14"/>
        <v>0.1175725393</v>
      </c>
      <c r="H29" s="83"/>
    </row>
    <row r="30" ht="31.5" customHeight="1">
      <c r="A30" s="81" t="s">
        <v>421</v>
      </c>
      <c r="B30" s="122">
        <f t="shared" ref="B30:G30" si="15">B12-B28</f>
        <v>695.2764706</v>
      </c>
      <c r="C30" s="122">
        <f t="shared" si="15"/>
        <v>1298.957824</v>
      </c>
      <c r="D30" s="122">
        <f t="shared" si="15"/>
        <v>1368.597319</v>
      </c>
      <c r="E30" s="122">
        <f t="shared" si="15"/>
        <v>2556.463173</v>
      </c>
      <c r="F30" s="122">
        <f t="shared" si="15"/>
        <v>3874.131502</v>
      </c>
      <c r="G30" s="122">
        <f t="shared" si="15"/>
        <v>4993.571647</v>
      </c>
      <c r="H30" s="83"/>
    </row>
    <row r="31" ht="31.5" customHeight="1">
      <c r="A31" s="85" t="s">
        <v>422</v>
      </c>
      <c r="B31" s="124">
        <f>SUM('Operating forecast'!E12,'Operating forecast'!E14:'Operating forecast'!E15,B12)</f>
        <v>272338.0077</v>
      </c>
      <c r="C31" s="124">
        <f>SUM('Operating forecast'!G12,'Operating forecast'!G14:'Operating forecast'!G15,C12)</f>
        <v>606897.0739</v>
      </c>
      <c r="D31" s="124">
        <f>SUM('Operating forecast'!H12,'Operating forecast'!H14:'Operating forecast'!H15,D12)</f>
        <v>699076.1834</v>
      </c>
      <c r="E31" s="124">
        <f>SUM('Operating forecast'!I12,'Operating forecast'!I14:'Operating forecast'!I15,E12)</f>
        <v>790249.726</v>
      </c>
      <c r="F31" s="124">
        <f>SUM('Operating forecast'!J12,'Operating forecast'!J14:'Operating forecast'!J15,F12)</f>
        <v>875765.503</v>
      </c>
      <c r="G31" s="124">
        <f>SUM('Operating forecast'!K12,'Operating forecast'!K14:'Operating forecast'!K15,G12)</f>
        <v>955084.623</v>
      </c>
      <c r="H31" s="125"/>
    </row>
    <row r="32" ht="31.5" customHeight="1">
      <c r="A32" s="85" t="s">
        <v>423</v>
      </c>
      <c r="B32" s="124">
        <f t="shared" ref="B32:G32" si="16">B14-B22-B23</f>
        <v>0</v>
      </c>
      <c r="C32" s="124">
        <f t="shared" si="16"/>
        <v>0</v>
      </c>
      <c r="D32" s="124">
        <f t="shared" si="16"/>
        <v>0</v>
      </c>
      <c r="E32" s="124">
        <f t="shared" si="16"/>
        <v>0</v>
      </c>
      <c r="F32" s="124">
        <f t="shared" si="16"/>
        <v>0</v>
      </c>
      <c r="G32" s="124">
        <f t="shared" si="16"/>
        <v>0</v>
      </c>
      <c r="H32" s="125"/>
    </row>
    <row r="33" ht="31.5" customHeight="1">
      <c r="A33" s="83"/>
      <c r="B33" s="122"/>
      <c r="C33" s="122"/>
      <c r="D33" s="122"/>
      <c r="E33" s="122"/>
      <c r="F33" s="122"/>
      <c r="G33" s="122"/>
      <c r="H33" s="83"/>
    </row>
    <row r="34" ht="31.5" customHeight="1">
      <c r="A34" s="81" t="s">
        <v>424</v>
      </c>
      <c r="B34" s="123">
        <f>SUM(B8:C8)+Assumptions!B168</f>
        <v>0.51</v>
      </c>
      <c r="C34" s="123"/>
      <c r="D34" s="123"/>
      <c r="E34" s="123"/>
      <c r="F34" s="123"/>
      <c r="G34" s="123"/>
      <c r="H34" s="83"/>
    </row>
    <row r="35" ht="31.5" customHeight="1">
      <c r="A35" s="81" t="s">
        <v>425</v>
      </c>
      <c r="B35" s="123">
        <f>(SUM(B22:C22)+D22*Assumptions!B168/D8)/B7</f>
        <v>0.5075049375</v>
      </c>
      <c r="C35" s="123"/>
      <c r="D35" s="123"/>
      <c r="E35" s="123"/>
      <c r="F35" s="123"/>
      <c r="G35" s="123"/>
      <c r="H35" s="83"/>
    </row>
    <row r="36" ht="31.5" customHeight="1">
      <c r="A36" s="81" t="s">
        <v>426</v>
      </c>
      <c r="B36" s="122">
        <f>G23</f>
        <v>469.2844488</v>
      </c>
      <c r="C36" s="122"/>
      <c r="D36" s="122"/>
      <c r="E36" s="122"/>
      <c r="F36" s="122"/>
      <c r="G36" s="122"/>
      <c r="H36" s="83"/>
    </row>
    <row r="37" ht="31.5" customHeight="1">
      <c r="A37" s="81" t="s">
        <v>427</v>
      </c>
      <c r="B37" s="123">
        <f>'Sources and basis'!B101/'Sources and basis'!B100</f>
        <v>0.3856475275</v>
      </c>
      <c r="C37" s="123"/>
      <c r="D37" s="123"/>
      <c r="E37" s="123"/>
      <c r="F37" s="123"/>
      <c r="G37" s="123"/>
      <c r="H37" s="83"/>
    </row>
    <row r="38" ht="31.5" customHeight="1">
      <c r="A38" s="81" t="s">
        <v>428</v>
      </c>
      <c r="B38" s="123">
        <f>Assumptions!G42</f>
        <v>0.38</v>
      </c>
      <c r="C38" s="123"/>
      <c r="D38" s="123"/>
      <c r="E38" s="123"/>
      <c r="F38" s="123"/>
      <c r="G38" s="123"/>
      <c r="H38" s="83"/>
    </row>
    <row r="39" ht="21.0" customHeight="1">
      <c r="A39" s="83"/>
      <c r="B39" s="83"/>
      <c r="C39" s="83"/>
      <c r="D39" s="83"/>
      <c r="E39" s="83"/>
      <c r="F39" s="83"/>
      <c r="G39" s="83"/>
      <c r="H39" s="83"/>
    </row>
    <row r="40" ht="31.5" customHeight="1">
      <c r="A40" s="81" t="s">
        <v>429</v>
      </c>
    </row>
    <row r="41" ht="31.5" customHeight="1">
      <c r="A41" s="84" t="s">
        <v>430</v>
      </c>
    </row>
    <row r="42" ht="31.5" customHeight="1">
      <c r="A42" s="81" t="s">
        <v>431</v>
      </c>
    </row>
    <row r="43" ht="31.5" customHeight="1">
      <c r="A43" s="81" t="s">
        <v>432</v>
      </c>
    </row>
    <row r="44" ht="31.5" customHeight="1">
      <c r="A44" s="81" t="s">
        <v>433</v>
      </c>
    </row>
    <row r="45" ht="31.5" customHeight="1">
      <c r="A45" s="81" t="s">
        <v>434</v>
      </c>
    </row>
    <row r="46" ht="21.0" customHeight="1">
      <c r="A46" s="81" t="s">
        <v>435</v>
      </c>
      <c r="B46" s="83" t="str">
        <f>IF(ABS(SUM(B8:G8)-1)&lt;0.000001,"PASS","REVIEW")</f>
        <v>PASS</v>
      </c>
      <c r="C46" s="83"/>
      <c r="D46" s="83"/>
      <c r="E46" s="83"/>
      <c r="F46" s="83"/>
      <c r="G46" s="83"/>
      <c r="H46" s="83"/>
    </row>
    <row r="47" ht="21.0" customHeight="1">
      <c r="A47" s="81" t="s">
        <v>436</v>
      </c>
      <c r="B47" s="83" t="str">
        <f>IF(ABS(B34-Assumptions!B169)&lt;0.000001,"PASS","REVIEW")</f>
        <v>PASS</v>
      </c>
      <c r="C47" s="83"/>
      <c r="D47" s="83"/>
      <c r="E47" s="83"/>
      <c r="F47" s="83"/>
      <c r="G47" s="83"/>
      <c r="H47" s="83"/>
    </row>
  </sheetData>
  <mergeCells count="8">
    <mergeCell ref="A1:H1"/>
    <mergeCell ref="A2:H2"/>
    <mergeCell ref="A40:H40"/>
    <mergeCell ref="A41:H41"/>
    <mergeCell ref="A42:H42"/>
    <mergeCell ref="A43:H43"/>
    <mergeCell ref="A44:H44"/>
    <mergeCell ref="A45:H4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63"/>
    <col customWidth="1" min="2" max="10" width="15.75"/>
  </cols>
  <sheetData>
    <row r="1" ht="25.5" customHeight="1">
      <c r="A1" s="126" t="s">
        <v>437</v>
      </c>
    </row>
    <row r="2" ht="34.5" customHeight="1">
      <c r="A2" s="7" t="s">
        <v>438</v>
      </c>
    </row>
    <row r="3" ht="20.25" customHeight="1">
      <c r="A3" s="3" t="s">
        <v>263</v>
      </c>
      <c r="B3" s="3" t="str">
        <f>Assumptions!B3</f>
        <v>Base</v>
      </c>
      <c r="C3" s="3"/>
      <c r="D3" s="3"/>
      <c r="E3" s="3"/>
      <c r="F3" s="3"/>
      <c r="G3" s="3"/>
      <c r="H3" s="3"/>
      <c r="I3" s="3"/>
      <c r="J3" s="3"/>
    </row>
    <row r="4" ht="20.25" customHeight="1">
      <c r="A4" s="35" t="s">
        <v>439</v>
      </c>
      <c r="B4" s="127">
        <f>C29</f>
        <v>26257</v>
      </c>
      <c r="C4" s="3"/>
      <c r="D4" s="3"/>
      <c r="E4" s="3"/>
      <c r="F4" s="3"/>
      <c r="G4" s="3"/>
      <c r="H4" s="3"/>
      <c r="I4" s="3"/>
      <c r="J4" s="3"/>
    </row>
    <row r="5" ht="20.25" customHeight="1">
      <c r="A5" s="3"/>
      <c r="B5" s="3"/>
      <c r="C5" s="3"/>
      <c r="D5" s="3"/>
      <c r="E5" s="3"/>
      <c r="F5" s="3"/>
      <c r="G5" s="3"/>
      <c r="H5" s="3"/>
      <c r="I5" s="3"/>
      <c r="J5" s="3"/>
    </row>
    <row r="6" ht="27.0" customHeight="1">
      <c r="A6" s="6" t="s">
        <v>440</v>
      </c>
      <c r="B6" s="6" t="s">
        <v>441</v>
      </c>
      <c r="C6" s="6" t="s">
        <v>442</v>
      </c>
      <c r="D6" s="6"/>
      <c r="E6" s="6" t="s">
        <v>443</v>
      </c>
      <c r="F6" s="6" t="s">
        <v>343</v>
      </c>
      <c r="G6" s="6" t="s">
        <v>344</v>
      </c>
      <c r="H6" s="6" t="s">
        <v>345</v>
      </c>
      <c r="I6" s="6" t="s">
        <v>346</v>
      </c>
      <c r="J6" s="6" t="s">
        <v>347</v>
      </c>
    </row>
    <row r="7" ht="20.25" customHeight="1">
      <c r="A7" s="128" t="s">
        <v>444</v>
      </c>
      <c r="B7" s="129"/>
      <c r="C7" s="129"/>
      <c r="D7" s="129"/>
      <c r="E7" s="129"/>
      <c r="F7" s="129"/>
      <c r="G7" s="129"/>
      <c r="H7" s="129"/>
      <c r="I7" s="129"/>
      <c r="J7" s="129"/>
    </row>
    <row r="8" ht="20.25" customHeight="1">
      <c r="A8" s="3" t="s">
        <v>445</v>
      </c>
      <c r="B8" s="130">
        <f>'Balance sheet'!G11</f>
        <v>62886</v>
      </c>
      <c r="C8" s="130">
        <f>'Balance sheet'!I11</f>
        <v>69175</v>
      </c>
      <c r="D8" s="130"/>
      <c r="E8" s="130">
        <f>E35/365*Assumptions!B103</f>
        <v>77780.83557</v>
      </c>
      <c r="F8" s="130">
        <f>F35/365*Assumptions!C103</f>
        <v>93957.04018</v>
      </c>
      <c r="G8" s="130">
        <f>G35/365*Assumptions!D103</f>
        <v>108247.5952</v>
      </c>
      <c r="H8" s="130">
        <f>H35/365*Assumptions!E103</f>
        <v>122208.6489</v>
      </c>
      <c r="I8" s="130">
        <f>I35/365*Assumptions!F103</f>
        <v>135271.7759</v>
      </c>
      <c r="J8" s="130">
        <f>J35/365*Assumptions!G103</f>
        <v>147404.2615</v>
      </c>
    </row>
    <row r="9" ht="20.25" customHeight="1">
      <c r="A9" s="3" t="s">
        <v>446</v>
      </c>
      <c r="B9" s="130">
        <f>'Sources and basis'!B97</f>
        <v>2439</v>
      </c>
      <c r="C9" s="130">
        <f>'Balance sheet'!I12</f>
        <v>9991</v>
      </c>
      <c r="D9" s="130"/>
      <c r="E9" s="130">
        <f>E35*Assumptions!B108</f>
        <v>11233.94764</v>
      </c>
      <c r="F9" s="130">
        <f>F35*Assumptions!C108</f>
        <v>8618.463863</v>
      </c>
      <c r="G9" s="130">
        <f>G35*Assumptions!D108</f>
        <v>4224.321566</v>
      </c>
      <c r="H9" s="130">
        <f>H35*Assumptions!E108</f>
        <v>4769.146422</v>
      </c>
      <c r="I9" s="130">
        <f>I35*Assumptions!F108</f>
        <v>5278.930024</v>
      </c>
      <c r="J9" s="130">
        <f>J35*Assumptions!G108</f>
        <v>5752.3957</v>
      </c>
    </row>
    <row r="10" ht="20.25" customHeight="1">
      <c r="A10" s="3" t="s">
        <v>447</v>
      </c>
      <c r="B10" s="130">
        <f>'Sources and basis'!B98</f>
        <v>13870</v>
      </c>
      <c r="C10" s="130">
        <f>'Balance sheet'!I13</f>
        <v>21884</v>
      </c>
      <c r="D10" s="130"/>
      <c r="E10" s="130">
        <f>E35*Assumptions!B113</f>
        <v>16623.2291</v>
      </c>
      <c r="F10" s="130">
        <f>F35*Assumptions!C113</f>
        <v>20080.38861</v>
      </c>
      <c r="G10" s="130">
        <f>G35*Assumptions!D113</f>
        <v>23134.54929</v>
      </c>
      <c r="H10" s="130">
        <f>H35*Assumptions!E113</f>
        <v>26118.28935</v>
      </c>
      <c r="I10" s="130">
        <f>I35*Assumptions!F113</f>
        <v>28910.12554</v>
      </c>
      <c r="J10" s="130">
        <f>J35*Assumptions!G113</f>
        <v>31503.06617</v>
      </c>
    </row>
    <row r="11" ht="20.25" customHeight="1">
      <c r="A11" s="3" t="s">
        <v>448</v>
      </c>
      <c r="B11" s="130">
        <f>'Sources and basis'!B84</f>
        <v>0</v>
      </c>
      <c r="C11" s="130">
        <f>'Sources and basis'!C84</f>
        <v>7100</v>
      </c>
      <c r="D11" s="130"/>
      <c r="E11" s="130"/>
      <c r="F11" s="130"/>
      <c r="G11" s="130"/>
      <c r="H11" s="130"/>
      <c r="I11" s="130"/>
      <c r="J11" s="130"/>
    </row>
    <row r="12" ht="20.25" customHeight="1">
      <c r="A12" s="3" t="s">
        <v>449</v>
      </c>
      <c r="B12" s="130">
        <v>0.0</v>
      </c>
      <c r="C12" s="130">
        <v>0.0</v>
      </c>
      <c r="D12" s="130"/>
      <c r="E12" s="130"/>
      <c r="F12" s="130"/>
      <c r="G12" s="130"/>
      <c r="H12" s="130"/>
      <c r="I12" s="130"/>
      <c r="J12" s="130"/>
    </row>
    <row r="13" ht="20.25" customHeight="1">
      <c r="A13" s="22" t="s">
        <v>444</v>
      </c>
      <c r="B13" s="131">
        <f t="shared" ref="B13:C13" si="1">SUM(B8:B10)-SUM(B11:B12)</f>
        <v>79195</v>
      </c>
      <c r="C13" s="131">
        <f t="shared" si="1"/>
        <v>93950</v>
      </c>
      <c r="D13" s="131"/>
      <c r="E13" s="131">
        <f t="shared" ref="E13:J13" si="2">SUM(E8:E10)</f>
        <v>105638.0123</v>
      </c>
      <c r="F13" s="131">
        <f t="shared" si="2"/>
        <v>122655.8927</v>
      </c>
      <c r="G13" s="131">
        <f t="shared" si="2"/>
        <v>135606.466</v>
      </c>
      <c r="H13" s="131">
        <f t="shared" si="2"/>
        <v>153096.0847</v>
      </c>
      <c r="I13" s="131">
        <f t="shared" si="2"/>
        <v>169460.8314</v>
      </c>
      <c r="J13" s="131">
        <f t="shared" si="2"/>
        <v>184659.7234</v>
      </c>
    </row>
    <row r="14" ht="20.25" customHeight="1">
      <c r="A14" s="3"/>
      <c r="B14" s="130"/>
      <c r="C14" s="130"/>
      <c r="D14" s="130"/>
      <c r="E14" s="130"/>
      <c r="F14" s="130"/>
      <c r="G14" s="130"/>
      <c r="H14" s="130"/>
      <c r="I14" s="130"/>
      <c r="J14" s="130"/>
    </row>
    <row r="15" ht="20.25" customHeight="1">
      <c r="A15" s="128" t="s">
        <v>450</v>
      </c>
      <c r="B15" s="129"/>
      <c r="C15" s="129"/>
      <c r="D15" s="129"/>
      <c r="E15" s="129"/>
      <c r="F15" s="129"/>
      <c r="G15" s="129"/>
      <c r="H15" s="129"/>
      <c r="I15" s="129"/>
      <c r="J15" s="129"/>
    </row>
    <row r="16" ht="20.25" customHeight="1">
      <c r="A16" s="3" t="s">
        <v>451</v>
      </c>
      <c r="B16" s="130">
        <f>'Balance sheet'!G27</f>
        <v>12200</v>
      </c>
      <c r="C16" s="130">
        <f>'Balance sheet'!I27</f>
        <v>20258</v>
      </c>
      <c r="D16" s="130"/>
      <c r="E16" s="130"/>
      <c r="F16" s="130"/>
      <c r="G16" s="130"/>
      <c r="H16" s="130"/>
      <c r="I16" s="130"/>
      <c r="J16" s="130"/>
    </row>
    <row r="17" ht="20.25" customHeight="1">
      <c r="A17" s="3" t="s">
        <v>452</v>
      </c>
      <c r="B17" s="130">
        <f>'Sources and basis'!D42-'Sources and basis'!B86</f>
        <v>6213</v>
      </c>
      <c r="C17" s="130">
        <f>'Sources and basis'!E42-'Sources and basis'!C86</f>
        <v>12917</v>
      </c>
      <c r="D17" s="130"/>
      <c r="E17" s="130"/>
      <c r="F17" s="130"/>
      <c r="G17" s="130"/>
      <c r="H17" s="130"/>
      <c r="I17" s="130"/>
      <c r="J17" s="130"/>
    </row>
    <row r="18" ht="20.25" customHeight="1">
      <c r="A18" s="3" t="s">
        <v>453</v>
      </c>
      <c r="B18" s="130">
        <f t="shared" ref="B18:C18" si="3">B16-B17</f>
        <v>5987</v>
      </c>
      <c r="C18" s="130">
        <f t="shared" si="3"/>
        <v>7341</v>
      </c>
      <c r="D18" s="130"/>
      <c r="E18" s="130">
        <f>E35*Assumptions!B118</f>
        <v>8254.269807</v>
      </c>
      <c r="F18" s="130">
        <f>F35*Assumptions!C118</f>
        <v>9970.923484</v>
      </c>
      <c r="G18" s="130">
        <f>G35*Assumptions!D118</f>
        <v>11487.46796</v>
      </c>
      <c r="H18" s="130">
        <f>H35*Assumptions!E118</f>
        <v>12969.04505</v>
      </c>
      <c r="I18" s="130">
        <f>I35*Assumptions!F118</f>
        <v>14355.33222</v>
      </c>
      <c r="J18" s="130">
        <f>J35*Assumptions!G118</f>
        <v>15642.85774</v>
      </c>
    </row>
    <row r="19" ht="20.25" customHeight="1">
      <c r="A19" s="3" t="s">
        <v>454</v>
      </c>
      <c r="B19" s="130">
        <f>'Balance sheet'!G28</f>
        <v>17546</v>
      </c>
      <c r="C19" s="130">
        <f>'Balance sheet'!I28</f>
        <v>15086</v>
      </c>
      <c r="D19" s="130"/>
      <c r="E19" s="130">
        <f>E35*Assumptions!B123</f>
        <v>16962.79993</v>
      </c>
      <c r="F19" s="130">
        <f>F35*Assumptions!C123</f>
        <v>20490.58053</v>
      </c>
      <c r="G19" s="130">
        <f>G35*Assumptions!D123</f>
        <v>23607.13004</v>
      </c>
      <c r="H19" s="130">
        <f>H35*Assumptions!E123</f>
        <v>26651.82042</v>
      </c>
      <c r="I19" s="130">
        <f>I35*Assumptions!F123</f>
        <v>29500.68682</v>
      </c>
      <c r="J19" s="130">
        <f>J35*Assumptions!G123</f>
        <v>32146.59472</v>
      </c>
    </row>
    <row r="20" ht="20.25" customHeight="1">
      <c r="A20" s="3" t="s">
        <v>455</v>
      </c>
      <c r="B20" s="130">
        <f>'Balance sheet'!G30</f>
        <v>10864</v>
      </c>
      <c r="C20" s="130">
        <f>'Balance sheet'!I30</f>
        <v>10599</v>
      </c>
      <c r="D20" s="130"/>
      <c r="E20" s="130">
        <f>E35*Assumptions!B128</f>
        <v>11917.58693</v>
      </c>
      <c r="F20" s="130">
        <f>F35*Assumptions!C128</f>
        <v>14396.10653</v>
      </c>
      <c r="G20" s="130">
        <f>G35*Assumptions!D128</f>
        <v>16585.7067</v>
      </c>
      <c r="H20" s="130">
        <f>H35*Assumptions!E128</f>
        <v>18724.82067</v>
      </c>
      <c r="I20" s="130">
        <f>I35*Assumptions!F128</f>
        <v>20726.35421</v>
      </c>
      <c r="J20" s="130">
        <f>J35*Assumptions!G128</f>
        <v>22585.2948</v>
      </c>
    </row>
    <row r="21" ht="20.25" customHeight="1">
      <c r="A21" s="3" t="s">
        <v>456</v>
      </c>
      <c r="B21" s="130">
        <f>'Balance sheet'!G31</f>
        <v>6578</v>
      </c>
      <c r="C21" s="130">
        <f>'Balance sheet'!I31</f>
        <v>7154</v>
      </c>
      <c r="D21" s="130"/>
      <c r="E21" s="130">
        <f>E35*Assumptions!B133</f>
        <v>8044.005749</v>
      </c>
      <c r="F21" s="130">
        <f>F35*Assumptions!C133</f>
        <v>9716.930473</v>
      </c>
      <c r="G21" s="130">
        <f>G35*Assumptions!D133</f>
        <v>11194.84345</v>
      </c>
      <c r="H21" s="130">
        <f>H35*Assumptions!E133</f>
        <v>12638.67979</v>
      </c>
      <c r="I21" s="130">
        <f>I35*Assumptions!F133</f>
        <v>13989.65355</v>
      </c>
      <c r="J21" s="130">
        <f>J35*Assumptions!G133</f>
        <v>15244.38145</v>
      </c>
    </row>
    <row r="22" ht="20.25" customHeight="1">
      <c r="A22" s="3" t="s">
        <v>457</v>
      </c>
      <c r="B22" s="130">
        <f>'Balance sheet'!G29</f>
        <v>55557</v>
      </c>
      <c r="C22" s="130">
        <f>'Balance sheet'!I29</f>
        <v>73014</v>
      </c>
      <c r="D22" s="130"/>
      <c r="E22" s="130"/>
      <c r="F22" s="130"/>
      <c r="G22" s="130"/>
      <c r="H22" s="130"/>
      <c r="I22" s="130"/>
      <c r="J22" s="130"/>
    </row>
    <row r="23" ht="20.25" customHeight="1">
      <c r="A23" s="3" t="s">
        <v>458</v>
      </c>
      <c r="B23" s="130">
        <f>SUM('Sources and basis'!D36:D41)</f>
        <v>7119</v>
      </c>
      <c r="C23" s="130">
        <f>SUM('Sources and basis'!E36:E41)</f>
        <v>11949</v>
      </c>
      <c r="D23" s="130"/>
      <c r="E23" s="130"/>
      <c r="F23" s="130"/>
      <c r="G23" s="130"/>
      <c r="H23" s="130"/>
      <c r="I23" s="130"/>
      <c r="J23" s="130"/>
    </row>
    <row r="24" ht="20.25" customHeight="1">
      <c r="A24" s="3" t="s">
        <v>459</v>
      </c>
      <c r="B24" s="130">
        <f>'Sources and basis'!B86</f>
        <v>8877</v>
      </c>
      <c r="C24" s="130">
        <f>'Sources and basis'!C86</f>
        <v>16196</v>
      </c>
      <c r="D24" s="130"/>
      <c r="E24" s="130"/>
      <c r="F24" s="130"/>
      <c r="G24" s="130"/>
      <c r="H24" s="130"/>
      <c r="I24" s="130"/>
      <c r="J24" s="130"/>
    </row>
    <row r="25" ht="20.25" customHeight="1">
      <c r="A25" s="3" t="s">
        <v>460</v>
      </c>
      <c r="B25" s="130">
        <f>'Sources and basis'!B85</f>
        <v>15594</v>
      </c>
      <c r="C25" s="130">
        <f>'Sources and basis'!C85</f>
        <v>17356</v>
      </c>
      <c r="D25" s="130"/>
      <c r="E25" s="130"/>
      <c r="F25" s="130"/>
      <c r="G25" s="130"/>
      <c r="H25" s="130"/>
      <c r="I25" s="130"/>
      <c r="J25" s="130"/>
    </row>
    <row r="26" ht="20.25" customHeight="1">
      <c r="A26" s="3" t="s">
        <v>461</v>
      </c>
      <c r="B26" s="130">
        <f t="shared" ref="B26:C26" si="4">B22-SUM(B23:B25)</f>
        <v>23967</v>
      </c>
      <c r="C26" s="130">
        <f t="shared" si="4"/>
        <v>27513</v>
      </c>
      <c r="D26" s="130"/>
      <c r="E26" s="130">
        <f>E35*Assumptions!B138</f>
        <v>30935.80237</v>
      </c>
      <c r="F26" s="130">
        <f>F35*Assumptions!C138</f>
        <v>37369.5706</v>
      </c>
      <c r="G26" s="130">
        <f>G35*Assumptions!D138</f>
        <v>43053.35867</v>
      </c>
      <c r="H26" s="130">
        <f>H35*Assumptions!E138</f>
        <v>48606.09407</v>
      </c>
      <c r="I26" s="130">
        <f>I35*Assumptions!F138</f>
        <v>53801.6967</v>
      </c>
      <c r="J26" s="130">
        <f>J35*Assumptions!G138</f>
        <v>58627.15501</v>
      </c>
    </row>
    <row r="27" ht="20.25" customHeight="1">
      <c r="A27" s="22" t="s">
        <v>450</v>
      </c>
      <c r="B27" s="131">
        <f t="shared" ref="B27:C27" si="5">SUM(B18:B21)+B26</f>
        <v>64942</v>
      </c>
      <c r="C27" s="131">
        <f t="shared" si="5"/>
        <v>67693</v>
      </c>
      <c r="D27" s="131"/>
      <c r="E27" s="131">
        <f t="shared" ref="E27:J27" si="6">SUM(E18:E21)+E26</f>
        <v>76114.46479</v>
      </c>
      <c r="F27" s="131">
        <f t="shared" si="6"/>
        <v>91944.11162</v>
      </c>
      <c r="G27" s="131">
        <f t="shared" si="6"/>
        <v>105928.5068</v>
      </c>
      <c r="H27" s="131">
        <f t="shared" si="6"/>
        <v>119590.46</v>
      </c>
      <c r="I27" s="131">
        <f t="shared" si="6"/>
        <v>132373.7235</v>
      </c>
      <c r="J27" s="131">
        <f t="shared" si="6"/>
        <v>144246.2837</v>
      </c>
    </row>
    <row r="28" ht="20.25" customHeight="1">
      <c r="A28" s="3"/>
      <c r="B28" s="130"/>
      <c r="C28" s="130"/>
      <c r="D28" s="130"/>
      <c r="E28" s="130"/>
      <c r="F28" s="130"/>
      <c r="G28" s="130"/>
      <c r="H28" s="130"/>
      <c r="I28" s="130"/>
      <c r="J28" s="130"/>
    </row>
    <row r="29" ht="20.25" customHeight="1">
      <c r="A29" s="22" t="s">
        <v>462</v>
      </c>
      <c r="B29" s="131">
        <f t="shared" ref="B29:C29" si="7">B13-B27</f>
        <v>14253</v>
      </c>
      <c r="C29" s="131">
        <f t="shared" si="7"/>
        <v>26257</v>
      </c>
      <c r="D29" s="131"/>
      <c r="E29" s="131">
        <f t="shared" ref="E29:J29" si="8">E13-E27</f>
        <v>29523.54752</v>
      </c>
      <c r="F29" s="131">
        <f t="shared" si="8"/>
        <v>30711.78104</v>
      </c>
      <c r="G29" s="131">
        <f t="shared" si="8"/>
        <v>29677.95919</v>
      </c>
      <c r="H29" s="131">
        <f t="shared" si="8"/>
        <v>33505.62468</v>
      </c>
      <c r="I29" s="131">
        <f t="shared" si="8"/>
        <v>37087.10792</v>
      </c>
      <c r="J29" s="131">
        <f t="shared" si="8"/>
        <v>40413.43969</v>
      </c>
    </row>
    <row r="30" ht="20.25" customHeight="1">
      <c r="A30" s="3" t="s">
        <v>463</v>
      </c>
      <c r="B30" s="130">
        <f>'Historical base'!D71</f>
        <v>-1341</v>
      </c>
      <c r="C30" s="130">
        <f>'Historical base'!E71</f>
        <v>16001</v>
      </c>
      <c r="D30" s="130"/>
      <c r="E30" s="130"/>
      <c r="F30" s="130"/>
      <c r="G30" s="130"/>
      <c r="H30" s="130"/>
      <c r="I30" s="130"/>
      <c r="J30" s="130"/>
    </row>
    <row r="31" ht="20.25" customHeight="1">
      <c r="A31" s="3" t="s">
        <v>464</v>
      </c>
      <c r="B31" s="130">
        <f t="shared" ref="B31:C31" si="9">B30-B11-B12+B25</f>
        <v>14253</v>
      </c>
      <c r="C31" s="130">
        <f t="shared" si="9"/>
        <v>26257</v>
      </c>
      <c r="D31" s="130"/>
      <c r="E31" s="130"/>
      <c r="F31" s="130"/>
      <c r="G31" s="130"/>
      <c r="H31" s="130"/>
      <c r="I31" s="130"/>
      <c r="J31" s="130"/>
    </row>
    <row r="32" ht="20.25" customHeight="1">
      <c r="A32" s="3" t="s">
        <v>465</v>
      </c>
      <c r="B32" s="130">
        <f t="shared" ref="B32:C32" si="10">ROUND(B29-B31,6)</f>
        <v>0</v>
      </c>
      <c r="C32" s="130">
        <f t="shared" si="10"/>
        <v>0</v>
      </c>
      <c r="D32" s="130"/>
      <c r="E32" s="130"/>
      <c r="F32" s="130"/>
      <c r="G32" s="130"/>
      <c r="H32" s="130"/>
      <c r="I32" s="130"/>
      <c r="J32" s="130"/>
    </row>
    <row r="33" ht="20.25" customHeight="1">
      <c r="A33" s="3"/>
      <c r="B33" s="130"/>
      <c r="C33" s="130"/>
      <c r="D33" s="130"/>
      <c r="E33" s="130"/>
      <c r="F33" s="130"/>
      <c r="G33" s="130"/>
      <c r="H33" s="130"/>
      <c r="I33" s="130"/>
      <c r="J33" s="130"/>
    </row>
    <row r="34" ht="20.25" customHeight="1">
      <c r="A34" s="128" t="s">
        <v>466</v>
      </c>
      <c r="B34" s="129"/>
      <c r="C34" s="129"/>
      <c r="D34" s="129"/>
      <c r="E34" s="129"/>
      <c r="F34" s="129"/>
      <c r="G34" s="129"/>
      <c r="H34" s="129"/>
      <c r="I34" s="129"/>
      <c r="J34" s="129"/>
    </row>
    <row r="35" ht="20.25" customHeight="1">
      <c r="A35" s="3" t="s">
        <v>467</v>
      </c>
      <c r="B35" s="130">
        <f>'Historical base'!C16</f>
        <v>402836</v>
      </c>
      <c r="C35" s="130">
        <f>'Historical base'!F16</f>
        <v>445866</v>
      </c>
      <c r="D35" s="130"/>
      <c r="E35" s="130">
        <f>'Operating forecast'!F16</f>
        <v>501334.7312</v>
      </c>
      <c r="F35" s="130">
        <f>'Operating forecast'!G16</f>
        <v>605598.116</v>
      </c>
      <c r="G35" s="130">
        <f>'Operating forecast'!H16</f>
        <v>697707.5861</v>
      </c>
      <c r="H35" s="130">
        <f>'Operating forecast'!I16</f>
        <v>787693.2628</v>
      </c>
      <c r="I35" s="130">
        <f>'Operating forecast'!J16</f>
        <v>871891.3715</v>
      </c>
      <c r="J35" s="130">
        <f>'Operating forecast'!K16</f>
        <v>950091.0513</v>
      </c>
    </row>
    <row r="36" ht="20.25" customHeight="1">
      <c r="A36" s="3" t="s">
        <v>468</v>
      </c>
      <c r="B36" s="132">
        <f t="shared" ref="B36:C36" si="11">B8/B35*365</f>
        <v>56.97949041</v>
      </c>
      <c r="C36" s="132">
        <f t="shared" si="11"/>
        <v>56.6288414</v>
      </c>
      <c r="D36" s="132"/>
      <c r="E36" s="132">
        <f t="shared" ref="E36:J36" si="12">E8/E35*365</f>
        <v>56.6288414</v>
      </c>
      <c r="F36" s="132">
        <f t="shared" si="12"/>
        <v>56.6288414</v>
      </c>
      <c r="G36" s="132">
        <f t="shared" si="12"/>
        <v>56.6288414</v>
      </c>
      <c r="H36" s="132">
        <f t="shared" si="12"/>
        <v>56.6288414</v>
      </c>
      <c r="I36" s="132">
        <f t="shared" si="12"/>
        <v>56.6288414</v>
      </c>
      <c r="J36" s="132">
        <f t="shared" si="12"/>
        <v>56.6288414</v>
      </c>
    </row>
    <row r="37" ht="20.25" customHeight="1">
      <c r="A37" s="3" t="s">
        <v>469</v>
      </c>
      <c r="B37" s="133">
        <f t="shared" ref="B37:C37" si="13">B9/B35</f>
        <v>0.006054573077</v>
      </c>
      <c r="C37" s="133">
        <f t="shared" si="13"/>
        <v>0.02240807776</v>
      </c>
      <c r="D37" s="133"/>
      <c r="E37" s="133">
        <f t="shared" ref="E37:J37" si="14">E9/E35</f>
        <v>0.02240807776</v>
      </c>
      <c r="F37" s="133">
        <f t="shared" si="14"/>
        <v>0.01423132542</v>
      </c>
      <c r="G37" s="133">
        <f t="shared" si="14"/>
        <v>0.006054573077</v>
      </c>
      <c r="H37" s="133">
        <f t="shared" si="14"/>
        <v>0.006054573077</v>
      </c>
      <c r="I37" s="133">
        <f t="shared" si="14"/>
        <v>0.006054573077</v>
      </c>
      <c r="J37" s="133">
        <f t="shared" si="14"/>
        <v>0.006054573077</v>
      </c>
    </row>
    <row r="38" ht="20.25" customHeight="1">
      <c r="A38" s="3" t="s">
        <v>470</v>
      </c>
      <c r="B38" s="133">
        <f t="shared" ref="B38:C38" si="15">(B10-B11-B12)/B35</f>
        <v>0.03443088503</v>
      </c>
      <c r="C38" s="133">
        <f t="shared" si="15"/>
        <v>0.03315794432</v>
      </c>
      <c r="D38" s="133"/>
      <c r="E38" s="133">
        <f t="shared" ref="E38:J38" si="16">(E10-E11-E12)/E35</f>
        <v>0.03315794432</v>
      </c>
      <c r="F38" s="133">
        <f t="shared" si="16"/>
        <v>0.03315794432</v>
      </c>
      <c r="G38" s="133">
        <f t="shared" si="16"/>
        <v>0.03315794432</v>
      </c>
      <c r="H38" s="133">
        <f t="shared" si="16"/>
        <v>0.03315794432</v>
      </c>
      <c r="I38" s="133">
        <f t="shared" si="16"/>
        <v>0.03315794432</v>
      </c>
      <c r="J38" s="133">
        <f t="shared" si="16"/>
        <v>0.03315794432</v>
      </c>
    </row>
    <row r="39" ht="20.25" customHeight="1">
      <c r="A39" s="3" t="s">
        <v>471</v>
      </c>
      <c r="B39" s="133">
        <f t="shared" ref="B39:C39" si="17">B18/B35</f>
        <v>0.01486212752</v>
      </c>
      <c r="C39" s="133">
        <f t="shared" si="17"/>
        <v>0.01646458802</v>
      </c>
      <c r="D39" s="133"/>
      <c r="E39" s="133">
        <f t="shared" ref="E39:J39" si="18">E18/E35</f>
        <v>0.01646458802</v>
      </c>
      <c r="F39" s="133">
        <f t="shared" si="18"/>
        <v>0.01646458802</v>
      </c>
      <c r="G39" s="133">
        <f t="shared" si="18"/>
        <v>0.01646458802</v>
      </c>
      <c r="H39" s="133">
        <f t="shared" si="18"/>
        <v>0.01646458802</v>
      </c>
      <c r="I39" s="133">
        <f t="shared" si="18"/>
        <v>0.01646458802</v>
      </c>
      <c r="J39" s="133">
        <f t="shared" si="18"/>
        <v>0.01646458802</v>
      </c>
    </row>
    <row r="40" ht="20.25" customHeight="1">
      <c r="A40" s="3" t="s">
        <v>472</v>
      </c>
      <c r="B40" s="133">
        <f t="shared" ref="B40:C40" si="19">B19/B35</f>
        <v>0.04355618664</v>
      </c>
      <c r="C40" s="133">
        <f t="shared" si="19"/>
        <v>0.03383527786</v>
      </c>
      <c r="D40" s="133"/>
      <c r="E40" s="133">
        <f t="shared" ref="E40:J40" si="20">E19/E35</f>
        <v>0.03383527786</v>
      </c>
      <c r="F40" s="133">
        <f t="shared" si="20"/>
        <v>0.03383527786</v>
      </c>
      <c r="G40" s="133">
        <f t="shared" si="20"/>
        <v>0.03383527786</v>
      </c>
      <c r="H40" s="133">
        <f t="shared" si="20"/>
        <v>0.03383527786</v>
      </c>
      <c r="I40" s="133">
        <f t="shared" si="20"/>
        <v>0.03383527786</v>
      </c>
      <c r="J40" s="133">
        <f t="shared" si="20"/>
        <v>0.03383527786</v>
      </c>
    </row>
    <row r="41" ht="20.25" customHeight="1">
      <c r="A41" s="3" t="s">
        <v>473</v>
      </c>
      <c r="B41" s="133">
        <f t="shared" ref="B41:C41" si="21">B20/B35</f>
        <v>0.02696879127</v>
      </c>
      <c r="C41" s="133">
        <f t="shared" si="21"/>
        <v>0.02377171617</v>
      </c>
      <c r="D41" s="133"/>
      <c r="E41" s="133">
        <f t="shared" ref="E41:J41" si="22">E20/E35</f>
        <v>0.02377171617</v>
      </c>
      <c r="F41" s="133">
        <f t="shared" si="22"/>
        <v>0.02377171617</v>
      </c>
      <c r="G41" s="133">
        <f t="shared" si="22"/>
        <v>0.02377171617</v>
      </c>
      <c r="H41" s="133">
        <f t="shared" si="22"/>
        <v>0.02377171617</v>
      </c>
      <c r="I41" s="133">
        <f t="shared" si="22"/>
        <v>0.02377171617</v>
      </c>
      <c r="J41" s="133">
        <f t="shared" si="22"/>
        <v>0.02377171617</v>
      </c>
    </row>
    <row r="42" ht="20.25" customHeight="1">
      <c r="A42" s="3" t="s">
        <v>474</v>
      </c>
      <c r="B42" s="133">
        <f t="shared" ref="B42:C42" si="23">B21/B35</f>
        <v>0.01632922579</v>
      </c>
      <c r="C42" s="133">
        <f t="shared" si="23"/>
        <v>0.01604517949</v>
      </c>
      <c r="D42" s="133"/>
      <c r="E42" s="133">
        <f t="shared" ref="E42:J42" si="24">E21/E35</f>
        <v>0.01604517949</v>
      </c>
      <c r="F42" s="133">
        <f t="shared" si="24"/>
        <v>0.01604517949</v>
      </c>
      <c r="G42" s="133">
        <f t="shared" si="24"/>
        <v>0.01604517949</v>
      </c>
      <c r="H42" s="133">
        <f t="shared" si="24"/>
        <v>0.01604517949</v>
      </c>
      <c r="I42" s="133">
        <f t="shared" si="24"/>
        <v>0.01604517949</v>
      </c>
      <c r="J42" s="133">
        <f t="shared" si="24"/>
        <v>0.01604517949</v>
      </c>
    </row>
    <row r="43" ht="20.25" customHeight="1">
      <c r="A43" s="3" t="s">
        <v>475</v>
      </c>
      <c r="B43" s="133">
        <f t="shared" ref="B43:C43" si="25">B26/B35</f>
        <v>0.05949567566</v>
      </c>
      <c r="C43" s="133">
        <f t="shared" si="25"/>
        <v>0.06170688054</v>
      </c>
      <c r="D43" s="133"/>
      <c r="E43" s="133">
        <f t="shared" ref="E43:J43" si="26">E26/E35</f>
        <v>0.06170688054</v>
      </c>
      <c r="F43" s="133">
        <f t="shared" si="26"/>
        <v>0.06170688054</v>
      </c>
      <c r="G43" s="133">
        <f t="shared" si="26"/>
        <v>0.06170688054</v>
      </c>
      <c r="H43" s="133">
        <f t="shared" si="26"/>
        <v>0.06170688054</v>
      </c>
      <c r="I43" s="133">
        <f t="shared" si="26"/>
        <v>0.06170688054</v>
      </c>
      <c r="J43" s="133">
        <f t="shared" si="26"/>
        <v>0.06170688054</v>
      </c>
    </row>
    <row r="44" ht="20.25" customHeight="1">
      <c r="A44" s="3" t="s">
        <v>476</v>
      </c>
      <c r="B44" s="133">
        <f t="shared" ref="B44:C44" si="27">B29/B35</f>
        <v>0.03538164414</v>
      </c>
      <c r="C44" s="133">
        <f t="shared" si="27"/>
        <v>0.05888989068</v>
      </c>
      <c r="D44" s="133"/>
      <c r="E44" s="133">
        <f t="shared" ref="E44:J44" si="28">E29/E35</f>
        <v>0.05888989068</v>
      </c>
      <c r="F44" s="133">
        <f t="shared" si="28"/>
        <v>0.05071313834</v>
      </c>
      <c r="G44" s="133">
        <f t="shared" si="28"/>
        <v>0.042536386</v>
      </c>
      <c r="H44" s="133">
        <f t="shared" si="28"/>
        <v>0.042536386</v>
      </c>
      <c r="I44" s="133">
        <f t="shared" si="28"/>
        <v>0.042536386</v>
      </c>
      <c r="J44" s="133">
        <f t="shared" si="28"/>
        <v>0.042536386</v>
      </c>
    </row>
    <row r="45" ht="20.25" customHeight="1">
      <c r="A45" s="3"/>
      <c r="B45" s="130"/>
      <c r="C45" s="130"/>
      <c r="D45" s="130"/>
      <c r="E45" s="130"/>
      <c r="F45" s="130"/>
      <c r="G45" s="130"/>
      <c r="H45" s="130"/>
      <c r="I45" s="130"/>
      <c r="J45" s="130"/>
    </row>
    <row r="46" ht="20.25" customHeight="1">
      <c r="A46" s="128" t="s">
        <v>477</v>
      </c>
      <c r="B46" s="129"/>
      <c r="C46" s="129"/>
      <c r="D46" s="129"/>
      <c r="E46" s="129"/>
      <c r="F46" s="129"/>
      <c r="G46" s="129"/>
      <c r="H46" s="129"/>
      <c r="I46" s="129"/>
      <c r="J46" s="129"/>
    </row>
    <row r="47" ht="20.25" customHeight="1">
      <c r="A47" s="3" t="s">
        <v>478</v>
      </c>
      <c r="B47" s="130"/>
      <c r="C47" s="130"/>
      <c r="D47" s="130"/>
      <c r="E47" s="130">
        <f>C29</f>
        <v>26257</v>
      </c>
      <c r="F47" s="130">
        <f t="shared" ref="F47:J47" si="29">E29</f>
        <v>29523.54752</v>
      </c>
      <c r="G47" s="130">
        <f t="shared" si="29"/>
        <v>30711.78104</v>
      </c>
      <c r="H47" s="130">
        <f t="shared" si="29"/>
        <v>29677.95919</v>
      </c>
      <c r="I47" s="130">
        <f t="shared" si="29"/>
        <v>33505.62468</v>
      </c>
      <c r="J47" s="130">
        <f t="shared" si="29"/>
        <v>37087.10792</v>
      </c>
    </row>
    <row r="48" ht="20.25" customHeight="1">
      <c r="A48" s="22" t="s">
        <v>479</v>
      </c>
      <c r="B48" s="131"/>
      <c r="C48" s="131"/>
      <c r="D48" s="131"/>
      <c r="E48" s="131">
        <f t="shared" ref="E48:J48" si="30">E29-E47</f>
        <v>3266.547518</v>
      </c>
      <c r="F48" s="131">
        <f t="shared" si="30"/>
        <v>1188.233521</v>
      </c>
      <c r="G48" s="131">
        <f t="shared" si="30"/>
        <v>-1033.821844</v>
      </c>
      <c r="H48" s="131">
        <f t="shared" si="30"/>
        <v>3827.66548</v>
      </c>
      <c r="I48" s="131">
        <f t="shared" si="30"/>
        <v>3581.483249</v>
      </c>
      <c r="J48" s="131">
        <f t="shared" si="30"/>
        <v>3326.331769</v>
      </c>
    </row>
    <row r="49" ht="20.25" customHeight="1">
      <c r="A49" s="3"/>
      <c r="B49" s="130"/>
      <c r="C49" s="130"/>
      <c r="D49" s="130"/>
      <c r="E49" s="130"/>
      <c r="F49" s="130"/>
      <c r="G49" s="130"/>
      <c r="H49" s="130"/>
      <c r="I49" s="130"/>
      <c r="J49" s="130"/>
    </row>
    <row r="50" ht="20.25" customHeight="1">
      <c r="A50" s="3"/>
      <c r="B50" s="130"/>
      <c r="C50" s="130"/>
      <c r="D50" s="130"/>
      <c r="E50" s="130"/>
      <c r="F50" s="130"/>
      <c r="G50" s="130"/>
      <c r="H50" s="130"/>
      <c r="I50" s="130"/>
      <c r="J50" s="130"/>
    </row>
    <row r="51" ht="31.5" customHeight="1">
      <c r="A51" s="2" t="s">
        <v>480</v>
      </c>
    </row>
    <row r="52" ht="31.5" customHeight="1">
      <c r="A52" s="55" t="s">
        <v>481</v>
      </c>
    </row>
    <row r="53" ht="31.5" customHeight="1">
      <c r="A53" s="55" t="s">
        <v>482</v>
      </c>
    </row>
    <row r="54" ht="31.5" customHeight="1">
      <c r="A54" s="55" t="s">
        <v>483</v>
      </c>
    </row>
    <row r="55" ht="31.5" customHeight="1">
      <c r="A55" s="2" t="s">
        <v>484</v>
      </c>
    </row>
    <row r="57">
      <c r="A57" s="134" t="s">
        <v>485</v>
      </c>
    </row>
    <row r="58">
      <c r="A58" s="24" t="s">
        <v>486</v>
      </c>
      <c r="B58" s="135">
        <f>B35*'Financial assets'!$B$30</f>
        <v>8056.72</v>
      </c>
      <c r="C58" s="135">
        <f>C35*'Financial assets'!$B$30</f>
        <v>8917.32</v>
      </c>
      <c r="D58" s="135"/>
      <c r="E58" s="135">
        <f>E35*'Financial assets'!$B$30</f>
        <v>10026.69462</v>
      </c>
      <c r="F58" s="135">
        <f>F35*'Financial assets'!$B$30</f>
        <v>12111.96232</v>
      </c>
      <c r="G58" s="135">
        <f>G35*'Financial assets'!$B$30</f>
        <v>13954.15172</v>
      </c>
      <c r="H58" s="135">
        <f>H35*'Financial assets'!$B$30</f>
        <v>15753.86526</v>
      </c>
      <c r="I58" s="135">
        <f>I35*'Financial assets'!$B$30</f>
        <v>17437.82743</v>
      </c>
      <c r="J58" s="135">
        <f>J35*'Financial assets'!$B$30</f>
        <v>19001.82103</v>
      </c>
    </row>
    <row r="59">
      <c r="A59" s="24" t="s">
        <v>487</v>
      </c>
      <c r="B59" s="135">
        <f t="shared" ref="B59:C59" si="31">B29+B58</f>
        <v>22309.72</v>
      </c>
      <c r="C59" s="135">
        <f t="shared" si="31"/>
        <v>35174.32</v>
      </c>
      <c r="D59" s="135"/>
      <c r="E59" s="135">
        <f t="shared" ref="E59:J59" si="32">E29+E58</f>
        <v>39550.24214</v>
      </c>
      <c r="F59" s="135">
        <f t="shared" si="32"/>
        <v>42823.74336</v>
      </c>
      <c r="G59" s="135">
        <f t="shared" si="32"/>
        <v>43632.11092</v>
      </c>
      <c r="H59" s="135">
        <f t="shared" si="32"/>
        <v>49259.48993</v>
      </c>
      <c r="I59" s="135">
        <f t="shared" si="32"/>
        <v>54524.93535</v>
      </c>
      <c r="J59" s="135">
        <f t="shared" si="32"/>
        <v>59415.26072</v>
      </c>
    </row>
    <row r="60">
      <c r="A60" s="24" t="s">
        <v>488</v>
      </c>
      <c r="B60" s="135"/>
      <c r="C60" s="135"/>
      <c r="D60" s="135"/>
      <c r="E60" s="135">
        <f>C58</f>
        <v>8917.32</v>
      </c>
      <c r="F60" s="135">
        <f t="shared" ref="F60:J60" si="33">E58</f>
        <v>10026.69462</v>
      </c>
      <c r="G60" s="135">
        <f t="shared" si="33"/>
        <v>12111.96232</v>
      </c>
      <c r="H60" s="135">
        <f t="shared" si="33"/>
        <v>13954.15172</v>
      </c>
      <c r="I60" s="135">
        <f t="shared" si="33"/>
        <v>15753.86526</v>
      </c>
      <c r="J60" s="135">
        <f t="shared" si="33"/>
        <v>17437.82743</v>
      </c>
    </row>
    <row r="61">
      <c r="A61" s="24" t="s">
        <v>489</v>
      </c>
      <c r="B61" s="135"/>
      <c r="C61" s="135"/>
      <c r="D61" s="135"/>
      <c r="E61" s="135">
        <f t="shared" ref="E61:J61" si="34">E58-E60</f>
        <v>1109.374624</v>
      </c>
      <c r="F61" s="135">
        <f t="shared" si="34"/>
        <v>2085.267697</v>
      </c>
      <c r="G61" s="135">
        <f t="shared" si="34"/>
        <v>1842.1894</v>
      </c>
      <c r="H61" s="135">
        <f t="shared" si="34"/>
        <v>1799.713535</v>
      </c>
      <c r="I61" s="135">
        <f t="shared" si="34"/>
        <v>1683.962173</v>
      </c>
      <c r="J61" s="135">
        <f t="shared" si="34"/>
        <v>1563.993598</v>
      </c>
    </row>
    <row r="62">
      <c r="A62" s="24" t="s">
        <v>490</v>
      </c>
      <c r="B62" s="135"/>
      <c r="C62" s="135"/>
      <c r="D62" s="135"/>
      <c r="E62" s="135">
        <f t="shared" ref="E62:J62" si="35">E48+E61</f>
        <v>4375.922142</v>
      </c>
      <c r="F62" s="135">
        <f t="shared" si="35"/>
        <v>3273.501218</v>
      </c>
      <c r="G62" s="135">
        <f t="shared" si="35"/>
        <v>808.3675568</v>
      </c>
      <c r="H62" s="135">
        <f t="shared" si="35"/>
        <v>5627.379015</v>
      </c>
      <c r="I62" s="135">
        <f t="shared" si="35"/>
        <v>5265.445422</v>
      </c>
      <c r="J62" s="135">
        <f t="shared" si="35"/>
        <v>4890.325367</v>
      </c>
    </row>
    <row r="64" ht="31.5" customHeight="1">
      <c r="A64" s="136" t="s">
        <v>491</v>
      </c>
    </row>
    <row r="65" ht="31.5" customHeight="1">
      <c r="A65" s="136" t="s">
        <v>492</v>
      </c>
    </row>
  </sheetData>
  <mergeCells count="10">
    <mergeCell ref="A57:J57"/>
    <mergeCell ref="A64:J64"/>
    <mergeCell ref="A65:J65"/>
    <mergeCell ref="A1:J1"/>
    <mergeCell ref="A2:J2"/>
    <mergeCell ref="A51:J51"/>
    <mergeCell ref="A52:J52"/>
    <mergeCell ref="A53:J53"/>
    <mergeCell ref="A54:J54"/>
    <mergeCell ref="A55:J5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0"/>
    <col customWidth="1" min="2" max="7" width="14.88"/>
    <col customWidth="1" min="8" max="12" width="15.13"/>
  </cols>
  <sheetData>
    <row r="1" ht="19.5" customHeight="1">
      <c r="A1" s="1" t="s">
        <v>493</v>
      </c>
    </row>
    <row r="2" ht="34.5" customHeight="1">
      <c r="A2" s="55" t="s">
        <v>494</v>
      </c>
    </row>
    <row r="3" ht="19.5" customHeight="1">
      <c r="A3" s="3" t="s">
        <v>263</v>
      </c>
      <c r="B3" s="4" t="str">
        <f>Assumptions!B3</f>
        <v>Base</v>
      </c>
      <c r="C3" s="3"/>
      <c r="D3" s="3"/>
      <c r="E3" s="3"/>
      <c r="F3" s="3"/>
      <c r="G3" s="3"/>
    </row>
    <row r="4" ht="19.5" customHeight="1">
      <c r="A4" s="3"/>
      <c r="B4" s="3"/>
      <c r="C4" s="3"/>
      <c r="D4" s="3"/>
      <c r="E4" s="3"/>
      <c r="F4" s="3"/>
      <c r="G4" s="3"/>
    </row>
    <row r="5" ht="19.5" customHeight="1">
      <c r="A5" s="3"/>
      <c r="B5" s="3"/>
      <c r="C5" s="3"/>
      <c r="D5" s="3"/>
      <c r="E5" s="3"/>
      <c r="F5" s="3"/>
      <c r="G5" s="3"/>
    </row>
    <row r="6" ht="19.5" customHeight="1">
      <c r="A6" s="6" t="s">
        <v>495</v>
      </c>
      <c r="B6" s="6" t="s">
        <v>49</v>
      </c>
      <c r="C6" s="58" t="s">
        <v>50</v>
      </c>
      <c r="D6" s="58" t="s">
        <v>51</v>
      </c>
      <c r="E6" s="58" t="s">
        <v>52</v>
      </c>
      <c r="F6" s="58" t="s">
        <v>53</v>
      </c>
      <c r="G6" s="58" t="s">
        <v>54</v>
      </c>
      <c r="H6" s="58" t="s">
        <v>496</v>
      </c>
      <c r="I6" s="58" t="s">
        <v>497</v>
      </c>
      <c r="J6" s="58" t="s">
        <v>498</v>
      </c>
      <c r="K6" s="58" t="s">
        <v>499</v>
      </c>
      <c r="L6" s="58" t="s">
        <v>500</v>
      </c>
    </row>
    <row r="7" ht="19.5" customHeight="1">
      <c r="A7" s="3" t="s">
        <v>501</v>
      </c>
      <c r="B7" s="137">
        <v>0.5</v>
      </c>
      <c r="C7" s="137">
        <v>1.0</v>
      </c>
      <c r="D7" s="137">
        <v>1.0</v>
      </c>
      <c r="E7" s="137">
        <v>1.0</v>
      </c>
      <c r="F7" s="137">
        <v>1.0</v>
      </c>
      <c r="G7" s="137">
        <v>1.0</v>
      </c>
      <c r="H7" s="137">
        <v>1.0</v>
      </c>
      <c r="I7" s="137">
        <v>1.0</v>
      </c>
      <c r="J7" s="137">
        <v>1.0</v>
      </c>
      <c r="K7" s="137">
        <v>1.0</v>
      </c>
      <c r="L7" s="137">
        <v>1.0</v>
      </c>
    </row>
    <row r="8" ht="19.5" customHeight="1">
      <c r="A8" s="3" t="s">
        <v>502</v>
      </c>
      <c r="B8" s="138">
        <f>B7</f>
        <v>0.5</v>
      </c>
      <c r="C8" s="138">
        <f t="shared" ref="C8:L8" si="1">B8+C7</f>
        <v>1.5</v>
      </c>
      <c r="D8" s="138">
        <f t="shared" si="1"/>
        <v>2.5</v>
      </c>
      <c r="E8" s="138">
        <f t="shared" si="1"/>
        <v>3.5</v>
      </c>
      <c r="F8" s="138">
        <f t="shared" si="1"/>
        <v>4.5</v>
      </c>
      <c r="G8" s="138">
        <f t="shared" si="1"/>
        <v>5.5</v>
      </c>
      <c r="H8" s="138">
        <f t="shared" si="1"/>
        <v>6.5</v>
      </c>
      <c r="I8" s="138">
        <f t="shared" si="1"/>
        <v>7.5</v>
      </c>
      <c r="J8" s="138">
        <f t="shared" si="1"/>
        <v>8.5</v>
      </c>
      <c r="K8" s="138">
        <f t="shared" si="1"/>
        <v>9.5</v>
      </c>
      <c r="L8" s="138">
        <f t="shared" si="1"/>
        <v>10.5</v>
      </c>
    </row>
    <row r="9" ht="19.5" customHeight="1">
      <c r="A9" s="25" t="s">
        <v>503</v>
      </c>
      <c r="B9" s="25"/>
      <c r="C9" s="25"/>
      <c r="D9" s="25"/>
      <c r="E9" s="25"/>
      <c r="F9" s="25"/>
      <c r="G9" s="25"/>
      <c r="H9" s="25"/>
      <c r="I9" s="25"/>
      <c r="J9" s="25"/>
      <c r="K9" s="25"/>
      <c r="L9" s="25"/>
    </row>
    <row r="10" ht="19.5" customHeight="1">
      <c r="A10" s="3" t="s">
        <v>504</v>
      </c>
      <c r="B10" s="4">
        <f>Assumptions!B93</f>
        <v>119402</v>
      </c>
      <c r="C10" s="4">
        <f>'Cloud demand'!C31*Assumptions!C57</f>
        <v>212413.9759</v>
      </c>
      <c r="D10" s="4">
        <f>'Cloud demand'!D31*Assumptions!D57</f>
        <v>209722.855</v>
      </c>
      <c r="E10" s="4">
        <f>'Cloud demand'!E31*Assumptions!E57</f>
        <v>213367.426</v>
      </c>
      <c r="F10" s="4">
        <f>'Cloud demand'!F31*Assumptions!F57</f>
        <v>210183.7207</v>
      </c>
      <c r="G10" s="4">
        <f>'Cloud demand'!G31*Assumptions!G57</f>
        <v>210118.6171</v>
      </c>
      <c r="H10" s="4">
        <f t="shared" ref="H10:L10" si="2">H95</f>
        <v>221869.3742</v>
      </c>
      <c r="I10" s="4">
        <f t="shared" si="2"/>
        <v>224301.4101</v>
      </c>
      <c r="J10" s="4">
        <f t="shared" si="2"/>
        <v>221755.2723</v>
      </c>
      <c r="K10" s="4">
        <f t="shared" si="2"/>
        <v>213824.3453</v>
      </c>
      <c r="L10" s="4">
        <f t="shared" si="2"/>
        <v>245718.6379</v>
      </c>
    </row>
    <row r="11" ht="19.5" customHeight="1">
      <c r="A11" s="3" t="s">
        <v>505</v>
      </c>
      <c r="B11" s="21">
        <f t="shared" ref="B11:L11" si="3">SUM(B21:B22,B78:B88)</f>
        <v>19839.8</v>
      </c>
      <c r="C11" s="21">
        <f t="shared" si="3"/>
        <v>39679.6</v>
      </c>
      <c r="D11" s="21">
        <f t="shared" si="3"/>
        <v>39679.6</v>
      </c>
      <c r="E11" s="21">
        <f t="shared" si="3"/>
        <v>23146.43333</v>
      </c>
      <c r="F11" s="21">
        <f t="shared" si="3"/>
        <v>6613.266667</v>
      </c>
      <c r="G11" s="21">
        <f t="shared" si="3"/>
        <v>39465.96667</v>
      </c>
      <c r="H11" s="21">
        <f t="shared" si="3"/>
        <v>112333.9223</v>
      </c>
      <c r="I11" s="21">
        <f t="shared" si="3"/>
        <v>124886.1585</v>
      </c>
      <c r="J11" s="21">
        <f t="shared" si="3"/>
        <v>130078.674</v>
      </c>
      <c r="K11" s="21">
        <f t="shared" si="3"/>
        <v>132238.636</v>
      </c>
      <c r="L11" s="21">
        <f t="shared" si="3"/>
        <v>132517.8352</v>
      </c>
    </row>
    <row r="12" ht="19.5" customHeight="1">
      <c r="A12" s="22" t="s">
        <v>369</v>
      </c>
      <c r="B12" s="113">
        <f>B10</f>
        <v>119402</v>
      </c>
      <c r="C12" s="113">
        <f t="shared" ref="C12:L12" si="4">MAX(C10,C11)</f>
        <v>212413.9759</v>
      </c>
      <c r="D12" s="113">
        <f t="shared" si="4"/>
        <v>209722.855</v>
      </c>
      <c r="E12" s="113">
        <f t="shared" si="4"/>
        <v>213367.426</v>
      </c>
      <c r="F12" s="113">
        <f t="shared" si="4"/>
        <v>210183.7207</v>
      </c>
      <c r="G12" s="113">
        <f t="shared" si="4"/>
        <v>210118.6171</v>
      </c>
      <c r="H12" s="113">
        <f t="shared" si="4"/>
        <v>221869.3742</v>
      </c>
      <c r="I12" s="113">
        <f t="shared" si="4"/>
        <v>224301.4101</v>
      </c>
      <c r="J12" s="113">
        <f t="shared" si="4"/>
        <v>221755.2723</v>
      </c>
      <c r="K12" s="113">
        <f t="shared" si="4"/>
        <v>213824.3453</v>
      </c>
      <c r="L12" s="113">
        <f t="shared" si="4"/>
        <v>245718.6379</v>
      </c>
    </row>
    <row r="13" ht="19.5" customHeight="1">
      <c r="A13" s="3" t="s">
        <v>506</v>
      </c>
      <c r="B13" s="4">
        <f>'Historical base'!E74</f>
        <v>122814</v>
      </c>
      <c r="C13" s="21">
        <f t="shared" ref="C13:L13" si="5">B15</f>
        <v>187461.5</v>
      </c>
      <c r="D13" s="21">
        <f t="shared" si="5"/>
        <v>223674.3831</v>
      </c>
      <c r="E13" s="21">
        <f t="shared" si="5"/>
        <v>236275.7518</v>
      </c>
      <c r="F13" s="21">
        <f t="shared" si="5"/>
        <v>243867.4989</v>
      </c>
      <c r="G13" s="21">
        <f t="shared" si="5"/>
        <v>244675.6041</v>
      </c>
      <c r="H13" s="21">
        <f t="shared" si="5"/>
        <v>244953.2736</v>
      </c>
      <c r="I13" s="21">
        <f t="shared" si="5"/>
        <v>253289.8714</v>
      </c>
      <c r="J13" s="21">
        <f t="shared" si="5"/>
        <v>258326.9356</v>
      </c>
      <c r="K13" s="21">
        <f t="shared" si="5"/>
        <v>258559.4649</v>
      </c>
      <c r="L13" s="21">
        <f t="shared" si="5"/>
        <v>253100.8277</v>
      </c>
    </row>
    <row r="14" ht="19.5" customHeight="1">
      <c r="A14" s="3" t="s">
        <v>507</v>
      </c>
      <c r="B14" s="4">
        <f>MIN(B13+B12,(B13+0.5*B12)*Assumptions!B62*B7)</f>
        <v>54754.5</v>
      </c>
      <c r="C14" s="4">
        <f>MIN(C13+C12,(C13+0.5*C12)*Assumptions!C62*C7)</f>
        <v>176201.0928</v>
      </c>
      <c r="D14" s="4">
        <f>MIN(D13+D12,(D13+0.5*D12)*Assumptions!D62*D7)</f>
        <v>197121.4864</v>
      </c>
      <c r="E14" s="4">
        <f>MIN(E13+E12,(E13+0.5*E12)*Assumptions!E62*E7)</f>
        <v>205775.6789</v>
      </c>
      <c r="F14" s="4">
        <f>MIN(F13+F12,(F13+0.5*F12)*Assumptions!F62*F7)</f>
        <v>209375.6156</v>
      </c>
      <c r="G14" s="4">
        <f>MIN(G13+G12,(G13+0.5*G12)*Assumptions!G62*G7)</f>
        <v>209840.9476</v>
      </c>
      <c r="H14" s="4">
        <f>MIN(H13+H12,(H13+0.5*H12)*Assumptions!$G$62)</f>
        <v>213532.7764</v>
      </c>
      <c r="I14" s="4">
        <f>MIN(I13+I12,(I13+0.5*I12)*Assumptions!$G$62)</f>
        <v>219264.3459</v>
      </c>
      <c r="J14" s="4">
        <f>MIN(J13+J12,(J13+0.5*J12)*Assumptions!$G$62)</f>
        <v>221522.7431</v>
      </c>
      <c r="K14" s="4">
        <f>MIN(K13+K12,(K13+0.5*K12)*Assumptions!$G$62)</f>
        <v>219282.9825</v>
      </c>
      <c r="L14" s="4">
        <f>MIN(L13+L12,(L13+0.5*L12)*Assumptions!$G$62)</f>
        <v>225576.088</v>
      </c>
    </row>
    <row r="15" ht="19.5" customHeight="1">
      <c r="A15" s="22" t="s">
        <v>508</v>
      </c>
      <c r="B15" s="113">
        <f t="shared" ref="B15:L15" si="6">B13+B12-B14</f>
        <v>187461.5</v>
      </c>
      <c r="C15" s="113">
        <f t="shared" si="6"/>
        <v>223674.3831</v>
      </c>
      <c r="D15" s="113">
        <f t="shared" si="6"/>
        <v>236275.7518</v>
      </c>
      <c r="E15" s="113">
        <f t="shared" si="6"/>
        <v>243867.4989</v>
      </c>
      <c r="F15" s="113">
        <f t="shared" si="6"/>
        <v>244675.6041</v>
      </c>
      <c r="G15" s="113">
        <f t="shared" si="6"/>
        <v>244953.2736</v>
      </c>
      <c r="H15" s="113">
        <f t="shared" si="6"/>
        <v>253289.8714</v>
      </c>
      <c r="I15" s="113">
        <f t="shared" si="6"/>
        <v>258326.9356</v>
      </c>
      <c r="J15" s="113">
        <f t="shared" si="6"/>
        <v>258559.4649</v>
      </c>
      <c r="K15" s="113">
        <f t="shared" si="6"/>
        <v>253100.8277</v>
      </c>
      <c r="L15" s="113">
        <f t="shared" si="6"/>
        <v>273243.3776</v>
      </c>
    </row>
    <row r="16" ht="19.5" customHeight="1">
      <c r="A16" s="3" t="s">
        <v>509</v>
      </c>
      <c r="B16" s="4">
        <f>B14*Assumptions!B72</f>
        <v>32852.7</v>
      </c>
      <c r="C16" s="4">
        <f>C14*Assumptions!C72</f>
        <v>105720.6557</v>
      </c>
      <c r="D16" s="4">
        <f>D14*Assumptions!D72</f>
        <v>118272.8918</v>
      </c>
      <c r="E16" s="4">
        <f>E14*Assumptions!E72</f>
        <v>123465.4073</v>
      </c>
      <c r="F16" s="4">
        <f>F14*Assumptions!F72</f>
        <v>125625.3693</v>
      </c>
      <c r="G16" s="4">
        <f>G14*Assumptions!G72</f>
        <v>125904.5685</v>
      </c>
      <c r="H16" s="4">
        <f>H14*Assumptions!$G$72</f>
        <v>128119.6658</v>
      </c>
      <c r="I16" s="4">
        <f>I14*Assumptions!$G$72</f>
        <v>131558.6075</v>
      </c>
      <c r="J16" s="4">
        <f>J14*Assumptions!$G$72</f>
        <v>132913.6458</v>
      </c>
      <c r="K16" s="4">
        <f>K14*Assumptions!$G$72</f>
        <v>131569.7895</v>
      </c>
      <c r="L16" s="4">
        <f>L14*Assumptions!$G$72</f>
        <v>135345.6528</v>
      </c>
    </row>
    <row r="17" ht="19.5" customHeight="1">
      <c r="A17" s="3" t="s">
        <v>510</v>
      </c>
      <c r="B17" s="21">
        <f t="shared" ref="B17:L17" si="7">B14-B16</f>
        <v>21901.8</v>
      </c>
      <c r="C17" s="21">
        <f t="shared" si="7"/>
        <v>70480.4371</v>
      </c>
      <c r="D17" s="21">
        <f t="shared" si="7"/>
        <v>78848.59455</v>
      </c>
      <c r="E17" s="21">
        <f t="shared" si="7"/>
        <v>82310.27154</v>
      </c>
      <c r="F17" s="21">
        <f t="shared" si="7"/>
        <v>83750.24622</v>
      </c>
      <c r="G17" s="21">
        <f t="shared" si="7"/>
        <v>83936.37902</v>
      </c>
      <c r="H17" s="21">
        <f t="shared" si="7"/>
        <v>85413.11056</v>
      </c>
      <c r="I17" s="21">
        <f t="shared" si="7"/>
        <v>87705.73835</v>
      </c>
      <c r="J17" s="21">
        <f t="shared" si="7"/>
        <v>88609.09723</v>
      </c>
      <c r="K17" s="21">
        <f t="shared" si="7"/>
        <v>87713.19301</v>
      </c>
      <c r="L17" s="21">
        <f t="shared" si="7"/>
        <v>90230.43519</v>
      </c>
    </row>
    <row r="18" ht="19.5" customHeight="1">
      <c r="A18" s="3"/>
      <c r="B18" s="3"/>
      <c r="C18" s="3"/>
      <c r="D18" s="3"/>
      <c r="E18" s="3"/>
      <c r="F18" s="3"/>
      <c r="G18" s="3"/>
      <c r="H18" s="3"/>
      <c r="I18" s="3"/>
      <c r="J18" s="3"/>
      <c r="K18" s="3"/>
      <c r="L18" s="3"/>
    </row>
    <row r="19" ht="19.5" customHeight="1">
      <c r="A19" s="25" t="s">
        <v>511</v>
      </c>
      <c r="B19" s="25"/>
      <c r="C19" s="25"/>
      <c r="D19" s="25"/>
      <c r="E19" s="25"/>
      <c r="F19" s="25"/>
      <c r="G19" s="25"/>
      <c r="H19" s="25"/>
      <c r="I19" s="25"/>
      <c r="J19" s="25"/>
      <c r="K19" s="25"/>
      <c r="L19" s="25"/>
    </row>
    <row r="20" ht="19.5" customHeight="1">
      <c r="A20" s="3" t="s">
        <v>512</v>
      </c>
      <c r="B20" s="4">
        <f>'Historical base'!E72</f>
        <v>321212</v>
      </c>
      <c r="C20" s="21">
        <f t="shared" ref="C20:L20" si="8">B26</f>
        <v>418857.7925</v>
      </c>
      <c r="D20" s="21">
        <f t="shared" si="8"/>
        <v>571592.4619</v>
      </c>
      <c r="E20" s="21">
        <f t="shared" si="8"/>
        <v>695503.4298</v>
      </c>
      <c r="F20" s="21">
        <f t="shared" si="8"/>
        <v>811389.3339</v>
      </c>
      <c r="G20" s="21">
        <f t="shared" si="8"/>
        <v>911564.1088</v>
      </c>
      <c r="H20" s="21">
        <f t="shared" si="8"/>
        <v>983971.2555</v>
      </c>
      <c r="I20" s="21">
        <f t="shared" si="8"/>
        <v>1053992.969</v>
      </c>
      <c r="J20" s="21">
        <f t="shared" si="8"/>
        <v>1118550.275</v>
      </c>
      <c r="K20" s="21">
        <f t="shared" si="8"/>
        <v>1173880.177</v>
      </c>
      <c r="L20" s="21">
        <f t="shared" si="8"/>
        <v>1215331.829</v>
      </c>
    </row>
    <row r="21" ht="19.5" customHeight="1">
      <c r="A21" s="3" t="s">
        <v>513</v>
      </c>
      <c r="B21" s="21">
        <f t="shared" ref="B21:L21" si="9">$B$44/$B$46*MAX(0,MIN(B8,$B$46)-MAX(B8-B7,0))</f>
        <v>16533.16667</v>
      </c>
      <c r="C21" s="21">
        <f t="shared" si="9"/>
        <v>33066.33333</v>
      </c>
      <c r="D21" s="21">
        <f t="shared" si="9"/>
        <v>33066.33333</v>
      </c>
      <c r="E21" s="21">
        <f t="shared" si="9"/>
        <v>16533.16667</v>
      </c>
      <c r="F21" s="21">
        <f t="shared" si="9"/>
        <v>0</v>
      </c>
      <c r="G21" s="21">
        <f t="shared" si="9"/>
        <v>0</v>
      </c>
      <c r="H21" s="21">
        <f t="shared" si="9"/>
        <v>0</v>
      </c>
      <c r="I21" s="21">
        <f t="shared" si="9"/>
        <v>0</v>
      </c>
      <c r="J21" s="21">
        <f t="shared" si="9"/>
        <v>0</v>
      </c>
      <c r="K21" s="21">
        <f t="shared" si="9"/>
        <v>0</v>
      </c>
      <c r="L21" s="21">
        <f t="shared" si="9"/>
        <v>0</v>
      </c>
    </row>
    <row r="22" ht="19.5" customHeight="1">
      <c r="A22" s="3" t="s">
        <v>514</v>
      </c>
      <c r="B22" s="21">
        <f t="shared" ref="B22:L22" si="10">$B$45/$B$47*MAX(0,MIN(B8,$B$47)-MAX(B8-B7,0))</f>
        <v>3306.633333</v>
      </c>
      <c r="C22" s="21">
        <f t="shared" si="10"/>
        <v>6613.266667</v>
      </c>
      <c r="D22" s="21">
        <f t="shared" si="10"/>
        <v>6613.266667</v>
      </c>
      <c r="E22" s="21">
        <f t="shared" si="10"/>
        <v>6613.266667</v>
      </c>
      <c r="F22" s="21">
        <f t="shared" si="10"/>
        <v>6613.266667</v>
      </c>
      <c r="G22" s="21">
        <f t="shared" si="10"/>
        <v>6613.266667</v>
      </c>
      <c r="H22" s="21">
        <f t="shared" si="10"/>
        <v>6613.266667</v>
      </c>
      <c r="I22" s="21">
        <f t="shared" si="10"/>
        <v>6613.266667</v>
      </c>
      <c r="J22" s="21">
        <f t="shared" si="10"/>
        <v>6613.266667</v>
      </c>
      <c r="K22" s="21">
        <f t="shared" si="10"/>
        <v>6613.266667</v>
      </c>
      <c r="L22" s="21">
        <f t="shared" si="10"/>
        <v>6613.266667</v>
      </c>
    </row>
    <row r="23" ht="19.5" customHeight="1">
      <c r="A23" s="3" t="s">
        <v>515</v>
      </c>
      <c r="B23" s="21">
        <f t="shared" ref="B23:L23" si="11">SUM(B50:B60,B64:B74)</f>
        <v>1916.4075</v>
      </c>
      <c r="C23" s="21">
        <f t="shared" si="11"/>
        <v>19999.70649</v>
      </c>
      <c r="D23" s="21">
        <f t="shared" si="11"/>
        <v>46132.28703</v>
      </c>
      <c r="E23" s="21">
        <f t="shared" si="11"/>
        <v>74335.0886</v>
      </c>
      <c r="F23" s="21">
        <f t="shared" si="11"/>
        <v>103395.6792</v>
      </c>
      <c r="G23" s="21">
        <f t="shared" si="11"/>
        <v>131098.2036</v>
      </c>
      <c r="H23" s="21">
        <f t="shared" si="11"/>
        <v>145234.3937</v>
      </c>
      <c r="I23" s="21">
        <f t="shared" si="11"/>
        <v>153130.8375</v>
      </c>
      <c r="J23" s="21">
        <f t="shared" si="11"/>
        <v>159812.1039</v>
      </c>
      <c r="K23" s="21">
        <f t="shared" si="11"/>
        <v>165759.427</v>
      </c>
      <c r="L23" s="21">
        <f t="shared" si="11"/>
        <v>171746.5681</v>
      </c>
    </row>
    <row r="24" ht="19.5" customHeight="1">
      <c r="A24" s="22" t="s">
        <v>516</v>
      </c>
      <c r="B24" s="113">
        <f t="shared" ref="B24:L24" si="12">SUM(B21:B23)</f>
        <v>21756.2075</v>
      </c>
      <c r="C24" s="113">
        <f t="shared" si="12"/>
        <v>59679.30649</v>
      </c>
      <c r="D24" s="113">
        <f t="shared" si="12"/>
        <v>85811.88703</v>
      </c>
      <c r="E24" s="113">
        <f t="shared" si="12"/>
        <v>97481.52193</v>
      </c>
      <c r="F24" s="113">
        <f t="shared" si="12"/>
        <v>110008.9459</v>
      </c>
      <c r="G24" s="113">
        <f t="shared" si="12"/>
        <v>137711.4703</v>
      </c>
      <c r="H24" s="113">
        <f t="shared" si="12"/>
        <v>151847.6604</v>
      </c>
      <c r="I24" s="113">
        <f t="shared" si="12"/>
        <v>159744.1042</v>
      </c>
      <c r="J24" s="113">
        <f t="shared" si="12"/>
        <v>166425.3705</v>
      </c>
      <c r="K24" s="113">
        <f t="shared" si="12"/>
        <v>172372.6937</v>
      </c>
      <c r="L24" s="113">
        <f t="shared" si="12"/>
        <v>178359.8348</v>
      </c>
    </row>
    <row r="25" ht="19.5" customHeight="1">
      <c r="A25" s="3" t="s">
        <v>364</v>
      </c>
      <c r="B25" s="4">
        <f>'Sources and basis'!E47</f>
        <v>747</v>
      </c>
      <c r="C25" s="4">
        <f>'Sources and basis'!F47</f>
        <v>1304</v>
      </c>
      <c r="D25" s="4">
        <f>'Sources and basis'!G47</f>
        <v>1142</v>
      </c>
      <c r="E25" s="4">
        <f>'Sources and basis'!H47</f>
        <v>1096</v>
      </c>
      <c r="F25" s="4">
        <f>'Sources and basis'!I47</f>
        <v>1055</v>
      </c>
      <c r="G25" s="4">
        <f>Assumptions!B94</f>
        <v>1055</v>
      </c>
      <c r="H25" s="4">
        <f>MIN(MAX(0,'Sources and basis'!$B$56-SUM($G$25:G25)),Assumptions!$B$237/Assumptions!$B$238)</f>
        <v>499</v>
      </c>
      <c r="I25" s="4">
        <f>MIN(MAX(0,'Sources and basis'!$B$56-SUM($G$25:H25)),Assumptions!$B$237/Assumptions!$B$238)</f>
        <v>499</v>
      </c>
      <c r="J25" s="4">
        <f>MIN(MAX(0,'Sources and basis'!$B$56-SUM($G$25:I25)),Assumptions!$B$237/Assumptions!$B$238)</f>
        <v>499</v>
      </c>
      <c r="K25" s="4">
        <f>MIN(MAX(0,'Sources and basis'!$B$56-SUM($G$25:J25)),Assumptions!$B$237/Assumptions!$B$238)</f>
        <v>499</v>
      </c>
      <c r="L25" s="4">
        <f>MIN(MAX(0,'Sources and basis'!$B$56-SUM($G$25:K25)),Assumptions!$B$237/Assumptions!$B$238)</f>
        <v>499</v>
      </c>
    </row>
    <row r="26" ht="19.5" customHeight="1">
      <c r="A26" s="22" t="s">
        <v>517</v>
      </c>
      <c r="B26" s="113">
        <f t="shared" ref="B26:L26" si="13">B20+B12-B24</f>
        <v>418857.7925</v>
      </c>
      <c r="C26" s="113">
        <f t="shared" si="13"/>
        <v>571592.4619</v>
      </c>
      <c r="D26" s="113">
        <f t="shared" si="13"/>
        <v>695503.4298</v>
      </c>
      <c r="E26" s="113">
        <f t="shared" si="13"/>
        <v>811389.3339</v>
      </c>
      <c r="F26" s="113">
        <f t="shared" si="13"/>
        <v>911564.1088</v>
      </c>
      <c r="G26" s="113">
        <f t="shared" si="13"/>
        <v>983971.2555</v>
      </c>
      <c r="H26" s="113">
        <f t="shared" si="13"/>
        <v>1053992.969</v>
      </c>
      <c r="I26" s="113">
        <f t="shared" si="13"/>
        <v>1118550.275</v>
      </c>
      <c r="J26" s="113">
        <f t="shared" si="13"/>
        <v>1173880.177</v>
      </c>
      <c r="K26" s="113">
        <f t="shared" si="13"/>
        <v>1215331.829</v>
      </c>
      <c r="L26" s="113">
        <f t="shared" si="13"/>
        <v>1282690.632</v>
      </c>
    </row>
    <row r="27" ht="19.5" customHeight="1">
      <c r="A27" s="3" t="s">
        <v>518</v>
      </c>
      <c r="B27" s="21">
        <f t="shared" ref="B27:L27" si="14">B26-B15</f>
        <v>231396.2925</v>
      </c>
      <c r="C27" s="21">
        <f t="shared" si="14"/>
        <v>347918.0788</v>
      </c>
      <c r="D27" s="21">
        <f t="shared" si="14"/>
        <v>459227.6781</v>
      </c>
      <c r="E27" s="21">
        <f t="shared" si="14"/>
        <v>567521.835</v>
      </c>
      <c r="F27" s="21">
        <f t="shared" si="14"/>
        <v>666888.5047</v>
      </c>
      <c r="G27" s="21">
        <f t="shared" si="14"/>
        <v>739017.982</v>
      </c>
      <c r="H27" s="21">
        <f t="shared" si="14"/>
        <v>800703.098</v>
      </c>
      <c r="I27" s="21">
        <f t="shared" si="14"/>
        <v>860223.3396</v>
      </c>
      <c r="J27" s="21">
        <f t="shared" si="14"/>
        <v>915320.7122</v>
      </c>
      <c r="K27" s="21">
        <f t="shared" si="14"/>
        <v>962231.001</v>
      </c>
      <c r="L27" s="21">
        <f t="shared" si="14"/>
        <v>1009447.254</v>
      </c>
    </row>
    <row r="28" ht="19.5" customHeight="1">
      <c r="A28" s="3" t="s">
        <v>519</v>
      </c>
      <c r="B28" s="139">
        <f t="shared" ref="B28:L28" si="15">B26-B20-B12+B24</f>
        <v>0</v>
      </c>
      <c r="C28" s="139">
        <f t="shared" si="15"/>
        <v>0</v>
      </c>
      <c r="D28" s="139">
        <f t="shared" si="15"/>
        <v>0</v>
      </c>
      <c r="E28" s="139">
        <f t="shared" si="15"/>
        <v>0</v>
      </c>
      <c r="F28" s="139">
        <f t="shared" si="15"/>
        <v>0</v>
      </c>
      <c r="G28" s="139">
        <f t="shared" si="15"/>
        <v>0</v>
      </c>
      <c r="H28" s="139">
        <f t="shared" si="15"/>
        <v>-0.0000000002037268132</v>
      </c>
      <c r="I28" s="139">
        <f t="shared" si="15"/>
        <v>0.0000000001455191523</v>
      </c>
      <c r="J28" s="139">
        <f t="shared" si="15"/>
        <v>0</v>
      </c>
      <c r="K28" s="139">
        <f t="shared" si="15"/>
        <v>0</v>
      </c>
      <c r="L28" s="139">
        <f t="shared" si="15"/>
        <v>0</v>
      </c>
    </row>
    <row r="29" ht="19.5" customHeight="1">
      <c r="A29" s="3"/>
      <c r="B29" s="3"/>
      <c r="C29" s="3"/>
      <c r="D29" s="3"/>
      <c r="E29" s="3"/>
      <c r="F29" s="3"/>
      <c r="G29" s="3"/>
      <c r="H29" s="3"/>
      <c r="I29" s="3"/>
      <c r="J29" s="3"/>
      <c r="K29" s="3"/>
      <c r="L29" s="3"/>
    </row>
    <row r="30" ht="19.5" customHeight="1">
      <c r="A30" s="25" t="s">
        <v>520</v>
      </c>
      <c r="B30" s="25"/>
      <c r="C30" s="25"/>
      <c r="D30" s="25"/>
      <c r="E30" s="25"/>
      <c r="F30" s="25"/>
      <c r="G30" s="25"/>
      <c r="H30" s="25"/>
      <c r="I30" s="25"/>
      <c r="J30" s="25"/>
      <c r="K30" s="25"/>
      <c r="L30" s="25"/>
    </row>
    <row r="31" ht="19.5" customHeight="1">
      <c r="A31" s="3" t="s">
        <v>368</v>
      </c>
      <c r="B31" s="4">
        <f>'Operating forecast'!E36</f>
        <v>73257.54982</v>
      </c>
      <c r="C31" s="4">
        <f>'Operating forecast'!G36</f>
        <v>155417.5661</v>
      </c>
      <c r="D31" s="4">
        <f>'Operating forecast'!H36</f>
        <v>169496.8901</v>
      </c>
      <c r="E31" s="4">
        <f>'Operating forecast'!I36</f>
        <v>193040.4692</v>
      </c>
      <c r="F31" s="4">
        <f>'Operating forecast'!J36</f>
        <v>214125.0295</v>
      </c>
      <c r="G31" s="4">
        <f>'Operating forecast'!K36</f>
        <v>221373.3146</v>
      </c>
      <c r="H31" s="4">
        <f>Transition!C13</f>
        <v>237492.177</v>
      </c>
      <c r="I31" s="4">
        <f>Transition!D13</f>
        <v>251285.5986</v>
      </c>
      <c r="J31" s="4">
        <f>Transition!E13</f>
        <v>262880.2973</v>
      </c>
      <c r="K31" s="4">
        <f>Transition!F13</f>
        <v>271872.8287</v>
      </c>
      <c r="L31" s="4">
        <f>Transition!G13</f>
        <v>277929.338</v>
      </c>
    </row>
    <row r="32" ht="19.5" customHeight="1">
      <c r="A32" s="3" t="s">
        <v>521</v>
      </c>
      <c r="B32" s="21">
        <f t="shared" ref="B32:L32" si="16">B24</f>
        <v>21756.2075</v>
      </c>
      <c r="C32" s="21">
        <f t="shared" si="16"/>
        <v>59679.30649</v>
      </c>
      <c r="D32" s="21">
        <f t="shared" si="16"/>
        <v>85811.88703</v>
      </c>
      <c r="E32" s="21">
        <f t="shared" si="16"/>
        <v>97481.52193</v>
      </c>
      <c r="F32" s="21">
        <f t="shared" si="16"/>
        <v>110008.9459</v>
      </c>
      <c r="G32" s="21">
        <f t="shared" si="16"/>
        <v>137711.4703</v>
      </c>
      <c r="H32" s="21">
        <f t="shared" si="16"/>
        <v>151847.6604</v>
      </c>
      <c r="I32" s="21">
        <f t="shared" si="16"/>
        <v>159744.1042</v>
      </c>
      <c r="J32" s="21">
        <f t="shared" si="16"/>
        <v>166425.3705</v>
      </c>
      <c r="K32" s="21">
        <f t="shared" si="16"/>
        <v>172372.6937</v>
      </c>
      <c r="L32" s="21">
        <f t="shared" si="16"/>
        <v>178359.8348</v>
      </c>
    </row>
    <row r="33" ht="19.5" customHeight="1">
      <c r="A33" s="3" t="s">
        <v>522</v>
      </c>
      <c r="B33" s="21">
        <f t="shared" ref="B33:L33" si="17">B25</f>
        <v>747</v>
      </c>
      <c r="C33" s="21">
        <f t="shared" si="17"/>
        <v>1304</v>
      </c>
      <c r="D33" s="21">
        <f t="shared" si="17"/>
        <v>1142</v>
      </c>
      <c r="E33" s="21">
        <f t="shared" si="17"/>
        <v>1096</v>
      </c>
      <c r="F33" s="21">
        <f t="shared" si="17"/>
        <v>1055</v>
      </c>
      <c r="G33" s="21">
        <f t="shared" si="17"/>
        <v>1055</v>
      </c>
      <c r="H33" s="21">
        <f t="shared" si="17"/>
        <v>499</v>
      </c>
      <c r="I33" s="21">
        <f t="shared" si="17"/>
        <v>499</v>
      </c>
      <c r="J33" s="21">
        <f t="shared" si="17"/>
        <v>499</v>
      </c>
      <c r="K33" s="21">
        <f t="shared" si="17"/>
        <v>499</v>
      </c>
      <c r="L33" s="21">
        <f t="shared" si="17"/>
        <v>499</v>
      </c>
    </row>
    <row r="34" ht="19.5" customHeight="1">
      <c r="A34" s="3" t="s">
        <v>523</v>
      </c>
      <c r="B34" s="21">
        <f t="shared" ref="B34:L34" si="18">B12</f>
        <v>119402</v>
      </c>
      <c r="C34" s="21">
        <f t="shared" si="18"/>
        <v>212413.9759</v>
      </c>
      <c r="D34" s="21">
        <f t="shared" si="18"/>
        <v>209722.855</v>
      </c>
      <c r="E34" s="21">
        <f t="shared" si="18"/>
        <v>213367.426</v>
      </c>
      <c r="F34" s="21">
        <f t="shared" si="18"/>
        <v>210183.7207</v>
      </c>
      <c r="G34" s="21">
        <f t="shared" si="18"/>
        <v>210118.6171</v>
      </c>
      <c r="H34" s="21">
        <f t="shared" si="18"/>
        <v>221869.3742</v>
      </c>
      <c r="I34" s="21">
        <f t="shared" si="18"/>
        <v>224301.4101</v>
      </c>
      <c r="J34" s="21">
        <f t="shared" si="18"/>
        <v>221755.2723</v>
      </c>
      <c r="K34" s="21">
        <f t="shared" si="18"/>
        <v>213824.3453</v>
      </c>
      <c r="L34" s="21">
        <f t="shared" si="18"/>
        <v>245718.6379</v>
      </c>
    </row>
    <row r="35" ht="19.5" customHeight="1">
      <c r="A35" s="35" t="s">
        <v>524</v>
      </c>
      <c r="B35" s="4">
        <f>'Working capital'!E59</f>
        <v>39550.24214</v>
      </c>
      <c r="C35" s="4">
        <f>'Working capital'!F59</f>
        <v>42823.74336</v>
      </c>
      <c r="D35" s="4">
        <f>'Working capital'!G59</f>
        <v>43632.11092</v>
      </c>
      <c r="E35" s="4">
        <f>'Working capital'!H59</f>
        <v>49259.48993</v>
      </c>
      <c r="F35" s="4">
        <f>'Working capital'!I59</f>
        <v>54524.93535</v>
      </c>
      <c r="G35" s="4">
        <f>'Working capital'!J59</f>
        <v>59415.26072</v>
      </c>
      <c r="H35" s="4">
        <f>Transition!C9*('Working capital'!$J$59/'Operating forecast'!$K$16)</f>
        <v>64034.90205</v>
      </c>
      <c r="I35" s="4">
        <f>Transition!D9*('Working capital'!$J$59/'Operating forecast'!$K$16)</f>
        <v>68249.28376</v>
      </c>
      <c r="J35" s="4">
        <f>Transition!E9*('Working capital'!$J$59/'Operating forecast'!$K$16)</f>
        <v>71926.27412</v>
      </c>
      <c r="K35" s="4">
        <f>Transition!F9*('Working capital'!$J$59/'Operating forecast'!$K$16)</f>
        <v>74942.71396</v>
      </c>
      <c r="L35" s="4">
        <f>Transition!G9*('Working capital'!$J$59/'Operating forecast'!$K$16)</f>
        <v>77190.99538</v>
      </c>
    </row>
    <row r="36" ht="19.5" customHeight="1">
      <c r="A36" s="35" t="s">
        <v>525</v>
      </c>
      <c r="B36" s="4">
        <f>'Working capital'!C59</f>
        <v>35174.32</v>
      </c>
      <c r="C36" s="21">
        <f>'Working capital'!E59</f>
        <v>39550.24214</v>
      </c>
      <c r="D36" s="21">
        <f>'Working capital'!F59</f>
        <v>42823.74336</v>
      </c>
      <c r="E36" s="21">
        <f>'Working capital'!G59</f>
        <v>43632.11092</v>
      </c>
      <c r="F36" s="21">
        <f>'Working capital'!H59</f>
        <v>49259.48993</v>
      </c>
      <c r="G36" s="21">
        <f>'Working capital'!I59</f>
        <v>54524.93535</v>
      </c>
      <c r="H36" s="21">
        <f t="shared" ref="H36:L36" si="19">G35</f>
        <v>59415.26072</v>
      </c>
      <c r="I36" s="21">
        <f t="shared" si="19"/>
        <v>64034.90205</v>
      </c>
      <c r="J36" s="21">
        <f t="shared" si="19"/>
        <v>68249.28376</v>
      </c>
      <c r="K36" s="21">
        <f t="shared" si="19"/>
        <v>71926.27412</v>
      </c>
      <c r="L36" s="21">
        <f t="shared" si="19"/>
        <v>74942.71396</v>
      </c>
    </row>
    <row r="37" ht="19.5" customHeight="1">
      <c r="A37" s="35" t="s">
        <v>526</v>
      </c>
      <c r="B37" s="21">
        <f>'Working capital'!E62</f>
        <v>4375.922142</v>
      </c>
      <c r="C37" s="21">
        <f>'Working capital'!F62</f>
        <v>3273.501218</v>
      </c>
      <c r="D37" s="21">
        <f>'Working capital'!G62</f>
        <v>808.3675568</v>
      </c>
      <c r="E37" s="21">
        <f>'Working capital'!H62</f>
        <v>5627.379015</v>
      </c>
      <c r="F37" s="21">
        <f>'Working capital'!I62</f>
        <v>5265.445422</v>
      </c>
      <c r="G37" s="21">
        <f>'Working capital'!J62</f>
        <v>4890.325367</v>
      </c>
      <c r="H37" s="21">
        <f t="shared" ref="H37:L37" si="20">H35-H36</f>
        <v>4619.641329</v>
      </c>
      <c r="I37" s="21">
        <f t="shared" si="20"/>
        <v>4214.381709</v>
      </c>
      <c r="J37" s="21">
        <f t="shared" si="20"/>
        <v>3676.990358</v>
      </c>
      <c r="K37" s="21">
        <f t="shared" si="20"/>
        <v>3016.43984</v>
      </c>
      <c r="L37" s="21">
        <f t="shared" si="20"/>
        <v>2248.281419</v>
      </c>
    </row>
    <row r="38" ht="19.5" customHeight="1">
      <c r="A38" s="22" t="s">
        <v>527</v>
      </c>
      <c r="B38" s="113">
        <f t="shared" ref="B38:L38" si="21">SUM(B31:B33)-B34-B37</f>
        <v>-28017.16483</v>
      </c>
      <c r="C38" s="113">
        <f t="shared" si="21"/>
        <v>713.3955457</v>
      </c>
      <c r="D38" s="113">
        <f t="shared" si="21"/>
        <v>45919.55455</v>
      </c>
      <c r="E38" s="113">
        <f t="shared" si="21"/>
        <v>72623.18612</v>
      </c>
      <c r="F38" s="113">
        <f t="shared" si="21"/>
        <v>109739.8093</v>
      </c>
      <c r="G38" s="113">
        <f t="shared" si="21"/>
        <v>145130.8425</v>
      </c>
      <c r="H38" s="113">
        <f t="shared" si="21"/>
        <v>163349.8219</v>
      </c>
      <c r="I38" s="113">
        <f t="shared" si="21"/>
        <v>183012.911</v>
      </c>
      <c r="J38" s="113">
        <f t="shared" si="21"/>
        <v>204372.4051</v>
      </c>
      <c r="K38" s="113">
        <f t="shared" si="21"/>
        <v>227903.7372</v>
      </c>
      <c r="L38" s="113">
        <f t="shared" si="21"/>
        <v>208821.2535</v>
      </c>
    </row>
    <row r="39" ht="19.5" customHeight="1">
      <c r="A39" s="3" t="s">
        <v>528</v>
      </c>
      <c r="B39" s="21">
        <f t="shared" ref="B39:L39" si="22">AVERAGE(B20+B36,B26+B35)</f>
        <v>407397.1773</v>
      </c>
      <c r="C39" s="21">
        <f t="shared" si="22"/>
        <v>536412.1199</v>
      </c>
      <c r="D39" s="21">
        <f t="shared" si="22"/>
        <v>676775.873</v>
      </c>
      <c r="E39" s="21">
        <f t="shared" si="22"/>
        <v>799892.1823</v>
      </c>
      <c r="F39" s="21">
        <f t="shared" si="22"/>
        <v>913368.934</v>
      </c>
      <c r="G39" s="21">
        <f t="shared" si="22"/>
        <v>1004737.78</v>
      </c>
      <c r="H39" s="21">
        <f t="shared" si="22"/>
        <v>1080707.194</v>
      </c>
      <c r="I39" s="21">
        <f t="shared" si="22"/>
        <v>1152413.715</v>
      </c>
      <c r="J39" s="21">
        <f t="shared" si="22"/>
        <v>1216303.005</v>
      </c>
      <c r="K39" s="21">
        <f t="shared" si="22"/>
        <v>1268040.497</v>
      </c>
      <c r="L39" s="21">
        <f t="shared" si="22"/>
        <v>1325078.085</v>
      </c>
    </row>
    <row r="40" ht="19.5" customHeight="1">
      <c r="A40" s="22" t="s">
        <v>529</v>
      </c>
      <c r="B40" s="140">
        <f t="shared" ref="B40:G40" si="23">B31/B7/B39</f>
        <v>0.3596370024</v>
      </c>
      <c r="C40" s="140">
        <f t="shared" si="23"/>
        <v>0.2897353739</v>
      </c>
      <c r="D40" s="140">
        <f t="shared" si="23"/>
        <v>0.2504475955</v>
      </c>
      <c r="E40" s="140">
        <f t="shared" si="23"/>
        <v>0.2413331115</v>
      </c>
      <c r="F40" s="140">
        <f t="shared" si="23"/>
        <v>0.234434325</v>
      </c>
      <c r="G40" s="140">
        <f t="shared" si="23"/>
        <v>0.2203294422</v>
      </c>
      <c r="H40" s="140">
        <f t="shared" ref="H40:L40" si="24">H31/H39</f>
        <v>0.2197562655</v>
      </c>
      <c r="I40" s="140">
        <f t="shared" si="24"/>
        <v>0.2180515515</v>
      </c>
      <c r="J40" s="140">
        <f t="shared" si="24"/>
        <v>0.2161305992</v>
      </c>
      <c r="K40" s="140">
        <f t="shared" si="24"/>
        <v>0.2144039006</v>
      </c>
      <c r="L40" s="140">
        <f t="shared" si="24"/>
        <v>0.2097456302</v>
      </c>
    </row>
    <row r="41" ht="19.5" customHeight="1">
      <c r="A41" s="35" t="s">
        <v>530</v>
      </c>
      <c r="B41" s="60">
        <f>B12/'Operating forecast'!E16</f>
        <v>0.4395552919</v>
      </c>
      <c r="C41" s="60">
        <f>C12/'Operating forecast'!G16</f>
        <v>0.350750721</v>
      </c>
      <c r="D41" s="60">
        <f>D12/'Operating forecast'!H16</f>
        <v>0.3005884689</v>
      </c>
      <c r="E41" s="60">
        <f>E12/'Operating forecast'!I16</f>
        <v>0.2708762866</v>
      </c>
      <c r="F41" s="60">
        <f>F12/'Operating forecast'!J16</f>
        <v>0.2410664076</v>
      </c>
      <c r="G41" s="60">
        <f>G12/'Operating forecast'!K16</f>
        <v>0.2211562952</v>
      </c>
      <c r="H41" s="60">
        <f>H12/Transition!C9</f>
        <v>0.2166772867</v>
      </c>
      <c r="I41" s="60">
        <f>I12/Transition!D9</f>
        <v>0.20552596</v>
      </c>
      <c r="J41" s="60">
        <f>J12/Transition!E9</f>
        <v>0.1928053896</v>
      </c>
      <c r="K41" s="60">
        <f>K12/Transition!F9</f>
        <v>0.1784269756</v>
      </c>
      <c r="L41" s="60">
        <f>L12/Transition!G9</f>
        <v>0.1990692763</v>
      </c>
    </row>
    <row r="42" ht="19.5" customHeight="1">
      <c r="A42" s="3"/>
      <c r="B42" s="3"/>
      <c r="C42" s="3"/>
      <c r="D42" s="3"/>
      <c r="E42" s="3"/>
      <c r="F42" s="3"/>
      <c r="G42" s="3"/>
      <c r="H42" s="3"/>
      <c r="I42" s="3"/>
      <c r="J42" s="3"/>
      <c r="K42" s="3"/>
      <c r="L42" s="3"/>
    </row>
    <row r="43" ht="19.5" customHeight="1">
      <c r="A43" s="25" t="s">
        <v>531</v>
      </c>
      <c r="B43" s="25"/>
      <c r="C43" s="25"/>
      <c r="D43" s="25"/>
      <c r="E43" s="25"/>
      <c r="F43" s="25"/>
      <c r="G43" s="25"/>
      <c r="H43" s="25"/>
      <c r="I43" s="25"/>
      <c r="J43" s="25"/>
      <c r="K43" s="25"/>
      <c r="L43" s="25"/>
    </row>
    <row r="44" ht="19.5" customHeight="1">
      <c r="A44" s="3" t="s">
        <v>532</v>
      </c>
      <c r="B44" s="4">
        <f>'Historical base'!E75*Assumptions!B89</f>
        <v>99199</v>
      </c>
      <c r="C44" s="3"/>
      <c r="D44" s="3"/>
      <c r="E44" s="3"/>
      <c r="F44" s="3"/>
      <c r="G44" s="3"/>
      <c r="H44" s="3"/>
      <c r="I44" s="3"/>
      <c r="J44" s="3"/>
      <c r="K44" s="3"/>
      <c r="L44" s="3"/>
    </row>
    <row r="45" ht="19.5" customHeight="1">
      <c r="A45" s="3" t="s">
        <v>533</v>
      </c>
      <c r="B45" s="4">
        <f>'Historical base'!E75-B44</f>
        <v>99199</v>
      </c>
      <c r="C45" s="3"/>
      <c r="D45" s="3"/>
      <c r="E45" s="3"/>
      <c r="F45" s="3"/>
      <c r="G45" s="3"/>
      <c r="H45" s="3"/>
      <c r="I45" s="3"/>
      <c r="J45" s="3"/>
      <c r="K45" s="3"/>
      <c r="L45" s="3"/>
    </row>
    <row r="46" ht="19.5" customHeight="1">
      <c r="A46" s="3" t="s">
        <v>534</v>
      </c>
      <c r="B46" s="141">
        <f>Assumptions!B90</f>
        <v>3</v>
      </c>
      <c r="C46" s="138"/>
      <c r="D46" s="138"/>
      <c r="E46" s="138"/>
      <c r="F46" s="138"/>
      <c r="G46" s="138"/>
      <c r="H46" s="138"/>
      <c r="I46" s="138"/>
      <c r="J46" s="138"/>
      <c r="K46" s="138"/>
      <c r="L46" s="138"/>
    </row>
    <row r="47" ht="19.5" customHeight="1">
      <c r="A47" s="3" t="s">
        <v>535</v>
      </c>
      <c r="B47" s="141">
        <f>Assumptions!B91</f>
        <v>15</v>
      </c>
      <c r="C47" s="138"/>
      <c r="D47" s="138"/>
      <c r="E47" s="138"/>
      <c r="F47" s="138"/>
      <c r="G47" s="138"/>
      <c r="H47" s="138"/>
      <c r="I47" s="138"/>
      <c r="J47" s="138"/>
      <c r="K47" s="138"/>
      <c r="L47" s="138"/>
    </row>
    <row r="48" ht="19.5" customHeight="1">
      <c r="A48" s="3"/>
      <c r="B48" s="3"/>
      <c r="C48" s="3"/>
      <c r="D48" s="3"/>
      <c r="E48" s="3"/>
      <c r="F48" s="3"/>
      <c r="G48" s="3"/>
      <c r="H48" s="3"/>
      <c r="I48" s="3"/>
      <c r="J48" s="3"/>
      <c r="K48" s="3"/>
      <c r="L48" s="3"/>
    </row>
    <row r="49" ht="21.0" customHeight="1">
      <c r="A49" s="80" t="s">
        <v>536</v>
      </c>
      <c r="B49" s="142"/>
      <c r="C49" s="142"/>
      <c r="D49" s="142"/>
      <c r="E49" s="142"/>
      <c r="F49" s="142"/>
      <c r="G49" s="142"/>
      <c r="H49" s="142"/>
      <c r="I49" s="142"/>
      <c r="J49" s="142"/>
      <c r="K49" s="142"/>
      <c r="L49" s="142"/>
    </row>
    <row r="50" ht="21.0" customHeight="1">
      <c r="A50" s="81" t="s">
        <v>537</v>
      </c>
      <c r="B50" s="119">
        <f>$B$16/Assumptions!$B$67*MAX(0,MIN(B$8,($B$8-$B$7/2)+Assumptions!$B$67)-MAX((B$8-B$7),($B$8-$B$7/2)))</f>
        <v>1642.635</v>
      </c>
      <c r="C50" s="119">
        <f>$B$16/Assumptions!$B$67*MAX(0,MIN(C$8,($B$8-$B$7/2)+Assumptions!$B$67)-MAX((C$8-C$7),($B$8-$B$7/2)))</f>
        <v>6570.54</v>
      </c>
      <c r="D50" s="119">
        <f>$B$16/Assumptions!$B$67*MAX(0,MIN(D$8,($B$8-$B$7/2)+Assumptions!$B$67)-MAX((D$8-D$7),($B$8-$B$7/2)))</f>
        <v>6570.54</v>
      </c>
      <c r="E50" s="119">
        <f>$B$16/Assumptions!$B$67*MAX(0,MIN(E$8,($B$8-$B$7/2)+Assumptions!$B$67)-MAX((E$8-E$7),($B$8-$B$7/2)))</f>
        <v>6570.54</v>
      </c>
      <c r="F50" s="119">
        <f>$B$16/Assumptions!$B$67*MAX(0,MIN(F$8,($B$8-$B$7/2)+Assumptions!$B$67)-MAX((F$8-F$7),($B$8-$B$7/2)))</f>
        <v>6570.54</v>
      </c>
      <c r="G50" s="119">
        <f>$B$16/Assumptions!$B$67*MAX(0,MIN(G$8,($B$8-$B$7/2)+Assumptions!$B$67)-MAX((G$8-G$7),($B$8-$B$7/2)))</f>
        <v>4927.905</v>
      </c>
      <c r="H50" s="119">
        <f>$B$16/Assumptions!$B$67*MAX(0,MIN(H$8,($B$8-$B$7/2)+Assumptions!$B$67)-MAX((H$8-H$7),($B$8-$B$7/2)))</f>
        <v>0</v>
      </c>
      <c r="I50" s="119">
        <f>$B$16/Assumptions!$B$67*MAX(0,MIN(I$8,($B$8-$B$7/2)+Assumptions!$B$67)-MAX((I$8-I$7),($B$8-$B$7/2)))</f>
        <v>0</v>
      </c>
      <c r="J50" s="119">
        <f>$B$16/Assumptions!$B$67*MAX(0,MIN(J$8,($B$8-$B$7/2)+Assumptions!$B$67)-MAX((J$8-J$7),($B$8-$B$7/2)))</f>
        <v>0</v>
      </c>
      <c r="K50" s="119">
        <f>$B$16/Assumptions!$B$67*MAX(0,MIN(K$8,($B$8-$B$7/2)+Assumptions!$B$67)-MAX((K$8-K$7),($B$8-$B$7/2)))</f>
        <v>0</v>
      </c>
      <c r="L50" s="119">
        <f>$B$16/Assumptions!$B$67*MAX(0,MIN(L$8,($B$8-$B$7/2)+Assumptions!$B$67)-MAX((L$8-L$7),($B$8-$B$7/2)))</f>
        <v>0</v>
      </c>
    </row>
    <row r="51" ht="21.0" customHeight="1">
      <c r="A51" s="81" t="s">
        <v>538</v>
      </c>
      <c r="B51" s="119">
        <f t="shared" ref="B51:B60" si="25">0</f>
        <v>0</v>
      </c>
      <c r="C51" s="119">
        <f>$C$16/Assumptions!$C$67*MAX(0,MIN(C$8,($C$8-$C$7/2)+Assumptions!$C$67)-MAX((C$8-C$7),($C$8-$C$7/2)))</f>
        <v>10572.06557</v>
      </c>
      <c r="D51" s="119">
        <f>$C$16/Assumptions!$C$67*MAX(0,MIN(D$8,($C$8-$C$7/2)+Assumptions!$C$67)-MAX((D$8-D$7),($C$8-$C$7/2)))</f>
        <v>21144.13113</v>
      </c>
      <c r="E51" s="119">
        <f>$C$16/Assumptions!$C$67*MAX(0,MIN(E$8,($C$8-$C$7/2)+Assumptions!$C$67)-MAX((E$8-E$7),($C$8-$C$7/2)))</f>
        <v>21144.13113</v>
      </c>
      <c r="F51" s="119">
        <f>$C$16/Assumptions!$C$67*MAX(0,MIN(F$8,($C$8-$C$7/2)+Assumptions!$C$67)-MAX((F$8-F$7),($C$8-$C$7/2)))</f>
        <v>21144.13113</v>
      </c>
      <c r="G51" s="119">
        <f>$C$16/Assumptions!$C$67*MAX(0,MIN(G$8,($C$8-$C$7/2)+Assumptions!$C$67)-MAX((G$8-G$7),($C$8-$C$7/2)))</f>
        <v>21144.13113</v>
      </c>
      <c r="H51" s="119">
        <f>$C$16/Assumptions!$C$67*MAX(0,MIN(H$8,($C$8-$C$7/2)+Assumptions!$C$67)-MAX((H$8-H$7),($C$8-$C$7/2)))</f>
        <v>10572.06557</v>
      </c>
      <c r="I51" s="119">
        <f>$C$16/Assumptions!$C$67*MAX(0,MIN(I$8,($C$8-$C$7/2)+Assumptions!$C$67)-MAX((I$8-I$7),($C$8-$C$7/2)))</f>
        <v>0</v>
      </c>
      <c r="J51" s="119">
        <f>$C$16/Assumptions!$C$67*MAX(0,MIN(J$8,($C$8-$C$7/2)+Assumptions!$C$67)-MAX((J$8-J$7),($C$8-$C$7/2)))</f>
        <v>0</v>
      </c>
      <c r="K51" s="119">
        <f>$C$16/Assumptions!$C$67*MAX(0,MIN(K$8,($C$8-$C$7/2)+Assumptions!$C$67)-MAX((K$8-K$7),($C$8-$C$7/2)))</f>
        <v>0</v>
      </c>
      <c r="L51" s="119">
        <f>$C$16/Assumptions!$C$67*MAX(0,MIN(L$8,($C$8-$C$7/2)+Assumptions!$C$67)-MAX((L$8-L$7),($C$8-$C$7/2)))</f>
        <v>0</v>
      </c>
    </row>
    <row r="52" ht="21.0" customHeight="1">
      <c r="A52" s="81" t="s">
        <v>539</v>
      </c>
      <c r="B52" s="119">
        <f t="shared" si="25"/>
        <v>0</v>
      </c>
      <c r="C52" s="119">
        <f t="shared" ref="C52:C60" si="26">0</f>
        <v>0</v>
      </c>
      <c r="D52" s="119">
        <f>$D$16/Assumptions!$D$67*MAX(0,MIN(D$8,($D$8-$D$7/2)+Assumptions!$D$67)-MAX((D$8-D$7),($D$8-$D$7/2)))</f>
        <v>11827.28918</v>
      </c>
      <c r="E52" s="119">
        <f>$D$16/Assumptions!$D$67*MAX(0,MIN(E$8,($D$8-$D$7/2)+Assumptions!$D$67)-MAX((E$8-E$7),($D$8-$D$7/2)))</f>
        <v>23654.57836</v>
      </c>
      <c r="F52" s="119">
        <f>$D$16/Assumptions!$D$67*MAX(0,MIN(F$8,($D$8-$D$7/2)+Assumptions!$D$67)-MAX((F$8-F$7),($D$8-$D$7/2)))</f>
        <v>23654.57836</v>
      </c>
      <c r="G52" s="119">
        <f>$D$16/Assumptions!$D$67*MAX(0,MIN(G$8,($D$8-$D$7/2)+Assumptions!$D$67)-MAX((G$8-G$7),($D$8-$D$7/2)))</f>
        <v>23654.57836</v>
      </c>
      <c r="H52" s="119">
        <f>$D$16/Assumptions!$D$67*MAX(0,MIN(H$8,($D$8-$D$7/2)+Assumptions!$D$67)-MAX((H$8-H$7),($D$8-$D$7/2)))</f>
        <v>23654.57836</v>
      </c>
      <c r="I52" s="119">
        <f>$D$16/Assumptions!$D$67*MAX(0,MIN(I$8,($D$8-$D$7/2)+Assumptions!$D$67)-MAX((I$8-I$7),($D$8-$D$7/2)))</f>
        <v>11827.28918</v>
      </c>
      <c r="J52" s="119">
        <f>$D$16/Assumptions!$D$67*MAX(0,MIN(J$8,($D$8-$D$7/2)+Assumptions!$D$67)-MAX((J$8-J$7),($D$8-$D$7/2)))</f>
        <v>0</v>
      </c>
      <c r="K52" s="119">
        <f>$D$16/Assumptions!$D$67*MAX(0,MIN(K$8,($D$8-$D$7/2)+Assumptions!$D$67)-MAX((K$8-K$7),($D$8-$D$7/2)))</f>
        <v>0</v>
      </c>
      <c r="L52" s="119">
        <f>$D$16/Assumptions!$D$67*MAX(0,MIN(L$8,($D$8-$D$7/2)+Assumptions!$D$67)-MAX((L$8-L$7),($D$8-$D$7/2)))</f>
        <v>0</v>
      </c>
    </row>
    <row r="53" ht="21.0" customHeight="1">
      <c r="A53" s="81" t="s">
        <v>540</v>
      </c>
      <c r="B53" s="119">
        <f t="shared" si="25"/>
        <v>0</v>
      </c>
      <c r="C53" s="119">
        <f t="shared" si="26"/>
        <v>0</v>
      </c>
      <c r="D53" s="119">
        <f t="shared" ref="D53:D60" si="27">0</f>
        <v>0</v>
      </c>
      <c r="E53" s="119">
        <f>$E$16/Assumptions!$E$67*MAX(0,MIN(E$8,($E$8-$E$7/2)+Assumptions!$E$67)-MAX((E$8-E$7),($E$8-$E$7/2)))</f>
        <v>12346.54073</v>
      </c>
      <c r="F53" s="119">
        <f>$E$16/Assumptions!$E$67*MAX(0,MIN(F$8,($E$8-$E$7/2)+Assumptions!$E$67)-MAX((F$8-F$7),($E$8-$E$7/2)))</f>
        <v>24693.08146</v>
      </c>
      <c r="G53" s="119">
        <f>$E$16/Assumptions!$E$67*MAX(0,MIN(G$8,($E$8-$E$7/2)+Assumptions!$E$67)-MAX((G$8-G$7),($E$8-$E$7/2)))</f>
        <v>24693.08146</v>
      </c>
      <c r="H53" s="119">
        <f>$E$16/Assumptions!$E$67*MAX(0,MIN(H$8,($E$8-$E$7/2)+Assumptions!$E$67)-MAX((H$8-H$7),($E$8-$E$7/2)))</f>
        <v>24693.08146</v>
      </c>
      <c r="I53" s="119">
        <f>$E$16/Assumptions!$E$67*MAX(0,MIN(I$8,($E$8-$E$7/2)+Assumptions!$E$67)-MAX((I$8-I$7),($E$8-$E$7/2)))</f>
        <v>24693.08146</v>
      </c>
      <c r="J53" s="119">
        <f>$E$16/Assumptions!$E$67*MAX(0,MIN(J$8,($E$8-$E$7/2)+Assumptions!$E$67)-MAX((J$8-J$7),($E$8-$E$7/2)))</f>
        <v>12346.54073</v>
      </c>
      <c r="K53" s="119">
        <f>$E$16/Assumptions!$E$67*MAX(0,MIN(K$8,($E$8-$E$7/2)+Assumptions!$E$67)-MAX((K$8-K$7),($E$8-$E$7/2)))</f>
        <v>0</v>
      </c>
      <c r="L53" s="119">
        <f>$E$16/Assumptions!$E$67*MAX(0,MIN(L$8,($E$8-$E$7/2)+Assumptions!$E$67)-MAX((L$8-L$7),($E$8-$E$7/2)))</f>
        <v>0</v>
      </c>
    </row>
    <row r="54" ht="21.0" customHeight="1">
      <c r="A54" s="81" t="s">
        <v>541</v>
      </c>
      <c r="B54" s="119">
        <f t="shared" si="25"/>
        <v>0</v>
      </c>
      <c r="C54" s="119">
        <f t="shared" si="26"/>
        <v>0</v>
      </c>
      <c r="D54" s="119">
        <f t="shared" si="27"/>
        <v>0</v>
      </c>
      <c r="E54" s="119">
        <f t="shared" ref="E54:E60" si="28">0</f>
        <v>0</v>
      </c>
      <c r="F54" s="119">
        <f>$F$16/Assumptions!$F$67*MAX(0,MIN(F$8,($F$8-$F$7/2)+Assumptions!$F$67)-MAX((F$8-F$7),($F$8-$F$7/2)))</f>
        <v>12562.53693</v>
      </c>
      <c r="G54" s="119">
        <f>$F$16/Assumptions!$F$67*MAX(0,MIN(G$8,($F$8-$F$7/2)+Assumptions!$F$67)-MAX((G$8-G$7),($F$8-$F$7/2)))</f>
        <v>25125.07387</v>
      </c>
      <c r="H54" s="119">
        <f>$F$16/Assumptions!$F$67*MAX(0,MIN(H$8,($F$8-$F$7/2)+Assumptions!$F$67)-MAX((H$8-H$7),($F$8-$F$7/2)))</f>
        <v>25125.07387</v>
      </c>
      <c r="I54" s="119">
        <f>$F$16/Assumptions!$F$67*MAX(0,MIN(I$8,($F$8-$F$7/2)+Assumptions!$F$67)-MAX((I$8-I$7),($F$8-$F$7/2)))</f>
        <v>25125.07387</v>
      </c>
      <c r="J54" s="119">
        <f>$F$16/Assumptions!$F$67*MAX(0,MIN(J$8,($F$8-$F$7/2)+Assumptions!$F$67)-MAX((J$8-J$7),($F$8-$F$7/2)))</f>
        <v>25125.07387</v>
      </c>
      <c r="K54" s="119">
        <f>$F$16/Assumptions!$F$67*MAX(0,MIN(K$8,($F$8-$F$7/2)+Assumptions!$F$67)-MAX((K$8-K$7),($F$8-$F$7/2)))</f>
        <v>12562.53693</v>
      </c>
      <c r="L54" s="119">
        <f>$F$16/Assumptions!$F$67*MAX(0,MIN(L$8,($F$8-$F$7/2)+Assumptions!$F$67)-MAX((L$8-L$7),($F$8-$F$7/2)))</f>
        <v>0</v>
      </c>
    </row>
    <row r="55" ht="21.0" customHeight="1">
      <c r="A55" s="81" t="s">
        <v>542</v>
      </c>
      <c r="B55" s="119">
        <f t="shared" si="25"/>
        <v>0</v>
      </c>
      <c r="C55" s="119">
        <f t="shared" si="26"/>
        <v>0</v>
      </c>
      <c r="D55" s="119">
        <f t="shared" si="27"/>
        <v>0</v>
      </c>
      <c r="E55" s="119">
        <f t="shared" si="28"/>
        <v>0</v>
      </c>
      <c r="F55" s="119">
        <f t="shared" ref="F55:F60" si="29">0</f>
        <v>0</v>
      </c>
      <c r="G55" s="119">
        <f>$G$16/Assumptions!$G$67*MAX(0,MIN(G$8,($G$8-$G$7/2)+Assumptions!$G$67)-MAX((G$8-G$7),($G$8-$G$7/2)))</f>
        <v>12590.45685</v>
      </c>
      <c r="H55" s="119">
        <f>$G$16/Assumptions!$G$67*MAX(0,MIN(H$8,($G$8-$G$7/2)+Assumptions!$G$67)-MAX((H$8-H$7),($G$8-$G$7/2)))</f>
        <v>25180.91371</v>
      </c>
      <c r="I55" s="119">
        <f>$G$16/Assumptions!$G$67*MAX(0,MIN(I$8,($G$8-$G$7/2)+Assumptions!$G$67)-MAX((I$8-I$7),($G$8-$G$7/2)))</f>
        <v>25180.91371</v>
      </c>
      <c r="J55" s="119">
        <f>$G$16/Assumptions!$G$67*MAX(0,MIN(J$8,($G$8-$G$7/2)+Assumptions!$G$67)-MAX((J$8-J$7),($G$8-$G$7/2)))</f>
        <v>25180.91371</v>
      </c>
      <c r="K55" s="119">
        <f>$G$16/Assumptions!$G$67*MAX(0,MIN(K$8,($G$8-$G$7/2)+Assumptions!$G$67)-MAX((K$8-K$7),($G$8-$G$7/2)))</f>
        <v>25180.91371</v>
      </c>
      <c r="L55" s="119">
        <f>$G$16/Assumptions!$G$67*MAX(0,MIN(L$8,($G$8-$G$7/2)+Assumptions!$G$67)-MAX((L$8-L$7),($G$8-$G$7/2)))</f>
        <v>12590.45685</v>
      </c>
    </row>
    <row r="56" ht="21.0" customHeight="1">
      <c r="A56" s="81" t="s">
        <v>543</v>
      </c>
      <c r="B56" s="119">
        <f t="shared" si="25"/>
        <v>0</v>
      </c>
      <c r="C56" s="119">
        <f t="shared" si="26"/>
        <v>0</v>
      </c>
      <c r="D56" s="119">
        <f t="shared" si="27"/>
        <v>0</v>
      </c>
      <c r="E56" s="119">
        <f t="shared" si="28"/>
        <v>0</v>
      </c>
      <c r="F56" s="119">
        <f t="shared" si="29"/>
        <v>0</v>
      </c>
      <c r="G56" s="119">
        <f t="shared" ref="G56:G60" si="30">0</f>
        <v>0</v>
      </c>
      <c r="H56" s="119">
        <f>$H$16/Assumptions!$G$67*MAX(0,MIN(H$8,($H$8-$H$7/2)+Assumptions!$G$67)-MAX((H$8-H$7),($H$8-$H$7/2)))</f>
        <v>12811.96658</v>
      </c>
      <c r="I56" s="119">
        <f>$H$16/Assumptions!$G$67*MAX(0,MIN(I$8,($H$8-$H$7/2)+Assumptions!$G$67)-MAX((I$8-I$7),($H$8-$H$7/2)))</f>
        <v>25623.93317</v>
      </c>
      <c r="J56" s="119">
        <f>$H$16/Assumptions!$G$67*MAX(0,MIN(J$8,($H$8-$H$7/2)+Assumptions!$G$67)-MAX((J$8-J$7),($H$8-$H$7/2)))</f>
        <v>25623.93317</v>
      </c>
      <c r="K56" s="119">
        <f>$H$16/Assumptions!$G$67*MAX(0,MIN(K$8,($H$8-$H$7/2)+Assumptions!$G$67)-MAX((K$8-K$7),($H$8-$H$7/2)))</f>
        <v>25623.93317</v>
      </c>
      <c r="L56" s="119">
        <f>$H$16/Assumptions!$G$67*MAX(0,MIN(L$8,($H$8-$H$7/2)+Assumptions!$G$67)-MAX((L$8-L$7),($H$8-$H$7/2)))</f>
        <v>25623.93317</v>
      </c>
    </row>
    <row r="57" ht="21.0" customHeight="1">
      <c r="A57" s="81" t="s">
        <v>544</v>
      </c>
      <c r="B57" s="119">
        <f t="shared" si="25"/>
        <v>0</v>
      </c>
      <c r="C57" s="119">
        <f t="shared" si="26"/>
        <v>0</v>
      </c>
      <c r="D57" s="119">
        <f t="shared" si="27"/>
        <v>0</v>
      </c>
      <c r="E57" s="119">
        <f t="shared" si="28"/>
        <v>0</v>
      </c>
      <c r="F57" s="119">
        <f t="shared" si="29"/>
        <v>0</v>
      </c>
      <c r="G57" s="119">
        <f t="shared" si="30"/>
        <v>0</v>
      </c>
      <c r="H57" s="119">
        <f t="shared" ref="H57:H60" si="31">0</f>
        <v>0</v>
      </c>
      <c r="I57" s="119">
        <f>$I$16/Assumptions!$G$67*MAX(0,MIN(I$8,($I$8-$I$7/2)+Assumptions!$G$67)-MAX((I$8-I$7),($I$8-$I$7/2)))</f>
        <v>13155.86075</v>
      </c>
      <c r="J57" s="119">
        <f>$I$16/Assumptions!$G$67*MAX(0,MIN(J$8,($I$8-$I$7/2)+Assumptions!$G$67)-MAX((J$8-J$7),($I$8-$I$7/2)))</f>
        <v>26311.7215</v>
      </c>
      <c r="K57" s="119">
        <f>$I$16/Assumptions!$G$67*MAX(0,MIN(K$8,($I$8-$I$7/2)+Assumptions!$G$67)-MAX((K$8-K$7),($I$8-$I$7/2)))</f>
        <v>26311.7215</v>
      </c>
      <c r="L57" s="119">
        <f>$I$16/Assumptions!$G$67*MAX(0,MIN(L$8,($I$8-$I$7/2)+Assumptions!$G$67)-MAX((L$8-L$7),($I$8-$I$7/2)))</f>
        <v>26311.7215</v>
      </c>
    </row>
    <row r="58" ht="21.0" customHeight="1">
      <c r="A58" s="81" t="s">
        <v>545</v>
      </c>
      <c r="B58" s="119">
        <f t="shared" si="25"/>
        <v>0</v>
      </c>
      <c r="C58" s="119">
        <f t="shared" si="26"/>
        <v>0</v>
      </c>
      <c r="D58" s="119">
        <f t="shared" si="27"/>
        <v>0</v>
      </c>
      <c r="E58" s="119">
        <f t="shared" si="28"/>
        <v>0</v>
      </c>
      <c r="F58" s="119">
        <f t="shared" si="29"/>
        <v>0</v>
      </c>
      <c r="G58" s="119">
        <f t="shared" si="30"/>
        <v>0</v>
      </c>
      <c r="H58" s="119">
        <f t="shared" si="31"/>
        <v>0</v>
      </c>
      <c r="I58" s="119">
        <f t="shared" ref="I58:I60" si="32">0</f>
        <v>0</v>
      </c>
      <c r="J58" s="119">
        <f>$J$16/Assumptions!$G$67*MAX(0,MIN(J$8,($J$8-$J$7/2)+Assumptions!$G$67)-MAX((J$8-J$7),($J$8-$J$7/2)))</f>
        <v>13291.36458</v>
      </c>
      <c r="K58" s="119">
        <f>$J$16/Assumptions!$G$67*MAX(0,MIN(K$8,($J$8-$J$7/2)+Assumptions!$G$67)-MAX((K$8-K$7),($J$8-$J$7/2)))</f>
        <v>26582.72917</v>
      </c>
      <c r="L58" s="119">
        <f>$J$16/Assumptions!$G$67*MAX(0,MIN(L$8,($J$8-$J$7/2)+Assumptions!$G$67)-MAX((L$8-L$7),($J$8-$J$7/2)))</f>
        <v>26582.72917</v>
      </c>
    </row>
    <row r="59" ht="21.0" customHeight="1">
      <c r="A59" s="81" t="s">
        <v>546</v>
      </c>
      <c r="B59" s="119">
        <f t="shared" si="25"/>
        <v>0</v>
      </c>
      <c r="C59" s="119">
        <f t="shared" si="26"/>
        <v>0</v>
      </c>
      <c r="D59" s="119">
        <f t="shared" si="27"/>
        <v>0</v>
      </c>
      <c r="E59" s="119">
        <f t="shared" si="28"/>
        <v>0</v>
      </c>
      <c r="F59" s="119">
        <f t="shared" si="29"/>
        <v>0</v>
      </c>
      <c r="G59" s="119">
        <f t="shared" si="30"/>
        <v>0</v>
      </c>
      <c r="H59" s="119">
        <f t="shared" si="31"/>
        <v>0</v>
      </c>
      <c r="I59" s="119">
        <f t="shared" si="32"/>
        <v>0</v>
      </c>
      <c r="J59" s="119">
        <f t="shared" ref="J59:J60" si="33">0</f>
        <v>0</v>
      </c>
      <c r="K59" s="119">
        <f>$K$16/Assumptions!$G$67*MAX(0,MIN(K$8,($K$8-$K$7/2)+Assumptions!$G$67)-MAX((K$8-K$7),($K$8-$K$7/2)))</f>
        <v>13156.97895</v>
      </c>
      <c r="L59" s="119">
        <f>$K$16/Assumptions!$G$67*MAX(0,MIN(L$8,($K$8-$K$7/2)+Assumptions!$G$67)-MAX((L$8-L$7),($K$8-$K$7/2)))</f>
        <v>26313.9579</v>
      </c>
    </row>
    <row r="60" ht="21.0" customHeight="1">
      <c r="A60" s="81" t="s">
        <v>547</v>
      </c>
      <c r="B60" s="119">
        <f t="shared" si="25"/>
        <v>0</v>
      </c>
      <c r="C60" s="119">
        <f t="shared" si="26"/>
        <v>0</v>
      </c>
      <c r="D60" s="119">
        <f t="shared" si="27"/>
        <v>0</v>
      </c>
      <c r="E60" s="119">
        <f t="shared" si="28"/>
        <v>0</v>
      </c>
      <c r="F60" s="119">
        <f t="shared" si="29"/>
        <v>0</v>
      </c>
      <c r="G60" s="119">
        <f t="shared" si="30"/>
        <v>0</v>
      </c>
      <c r="H60" s="119">
        <f t="shared" si="31"/>
        <v>0</v>
      </c>
      <c r="I60" s="119">
        <f t="shared" si="32"/>
        <v>0</v>
      </c>
      <c r="J60" s="119">
        <f t="shared" si="33"/>
        <v>0</v>
      </c>
      <c r="K60" s="119">
        <f>0</f>
        <v>0</v>
      </c>
      <c r="L60" s="119">
        <f>$L$16/Assumptions!$G$67*MAX(0,MIN(L$8,($L$8-$L$7/2)+Assumptions!$G$67)-MAX((L$8-L$7),($L$8-$L$7/2)))</f>
        <v>13534.56528</v>
      </c>
    </row>
    <row r="61" ht="21.0" customHeight="1">
      <c r="A61" s="143"/>
      <c r="B61" s="144"/>
      <c r="C61" s="144"/>
      <c r="D61" s="144"/>
      <c r="E61" s="144"/>
      <c r="F61" s="144"/>
      <c r="G61" s="144"/>
      <c r="H61" s="119"/>
      <c r="I61" s="119"/>
      <c r="J61" s="119"/>
      <c r="K61" s="119"/>
      <c r="L61" s="119"/>
    </row>
    <row r="62" ht="21.0" customHeight="1">
      <c r="A62" s="83"/>
      <c r="B62" s="119"/>
      <c r="C62" s="119"/>
      <c r="D62" s="119"/>
      <c r="E62" s="119"/>
      <c r="F62" s="119"/>
      <c r="G62" s="119"/>
      <c r="H62" s="119"/>
      <c r="I62" s="119"/>
      <c r="J62" s="119"/>
      <c r="K62" s="119"/>
      <c r="L62" s="119"/>
    </row>
    <row r="63" ht="21.0" customHeight="1">
      <c r="A63" s="80" t="s">
        <v>548</v>
      </c>
      <c r="B63" s="142"/>
      <c r="C63" s="142"/>
      <c r="D63" s="142"/>
      <c r="E63" s="142"/>
      <c r="F63" s="142"/>
      <c r="G63" s="142"/>
      <c r="H63" s="142"/>
      <c r="I63" s="142"/>
      <c r="J63" s="142"/>
      <c r="K63" s="142"/>
      <c r="L63" s="142"/>
    </row>
    <row r="64" ht="21.0" customHeight="1">
      <c r="A64" s="81" t="s">
        <v>549</v>
      </c>
      <c r="B64" s="119">
        <f>$B$17/Assumptions!$B$92*MAX(0,MIN(B$8,($B$8-$B$7/2)+Assumptions!$B$92)-MAX((B$8-B$7),($B$8-$B$7/2)))</f>
        <v>273.7725</v>
      </c>
      <c r="C64" s="119">
        <f>$B$17/Assumptions!$B$92*MAX(0,MIN(C$8,($B$8-$B$7/2)+Assumptions!$B$92)-MAX((C$8-C$7),($B$8-$B$7/2)))</f>
        <v>1095.09</v>
      </c>
      <c r="D64" s="119">
        <f>$B$17/Assumptions!$B$92*MAX(0,MIN(D$8,($B$8-$B$7/2)+Assumptions!$B$92)-MAX((D$8-D$7),($B$8-$B$7/2)))</f>
        <v>1095.09</v>
      </c>
      <c r="E64" s="119">
        <f>$B$17/Assumptions!$B$92*MAX(0,MIN(E$8,($B$8-$B$7/2)+Assumptions!$B$92)-MAX((E$8-E$7),($B$8-$B$7/2)))</f>
        <v>1095.09</v>
      </c>
      <c r="F64" s="119">
        <f>$B$17/Assumptions!$B$92*MAX(0,MIN(F$8,($B$8-$B$7/2)+Assumptions!$B$92)-MAX((F$8-F$7),($B$8-$B$7/2)))</f>
        <v>1095.09</v>
      </c>
      <c r="G64" s="119">
        <f>$B$17/Assumptions!$B$92*MAX(0,MIN(G$8,($B$8-$B$7/2)+Assumptions!$B$92)-MAX((G$8-G$7),($B$8-$B$7/2)))</f>
        <v>1095.09</v>
      </c>
      <c r="H64" s="119">
        <f>$B$17/Assumptions!$B$92*MAX(0,MIN(H$8,($B$8-$B$7/2)+Assumptions!$B$92)-MAX((H$8-H$7),($B$8-$B$7/2)))</f>
        <v>1095.09</v>
      </c>
      <c r="I64" s="119">
        <f>$B$17/Assumptions!$B$92*MAX(0,MIN(I$8,($B$8-$B$7/2)+Assumptions!$B$92)-MAX((I$8-I$7),($B$8-$B$7/2)))</f>
        <v>1095.09</v>
      </c>
      <c r="J64" s="119">
        <f>$B$17/Assumptions!$B$92*MAX(0,MIN(J$8,($B$8-$B$7/2)+Assumptions!$B$92)-MAX((J$8-J$7),($B$8-$B$7/2)))</f>
        <v>1095.09</v>
      </c>
      <c r="K64" s="119">
        <f>$B$17/Assumptions!$B$92*MAX(0,MIN(K$8,($B$8-$B$7/2)+Assumptions!$B$92)-MAX((K$8-K$7),($B$8-$B$7/2)))</f>
        <v>1095.09</v>
      </c>
      <c r="L64" s="119">
        <f>$B$17/Assumptions!$B$92*MAX(0,MIN(L$8,($B$8-$B$7/2)+Assumptions!$B$92)-MAX((L$8-L$7),($B$8-$B$7/2)))</f>
        <v>1095.09</v>
      </c>
    </row>
    <row r="65" ht="21.0" customHeight="1">
      <c r="A65" s="81" t="s">
        <v>550</v>
      </c>
      <c r="B65" s="119">
        <f t="shared" ref="B65:B74" si="34">0</f>
        <v>0</v>
      </c>
      <c r="C65" s="119">
        <f>$C$17/Assumptions!$B$92*MAX(0,MIN(C$8,($C$8-$C$7/2)+Assumptions!$B$92)-MAX((C$8-C$7),($C$8-$C$7/2)))</f>
        <v>1762.010928</v>
      </c>
      <c r="D65" s="119">
        <f>$C$17/Assumptions!$B$92*MAX(0,MIN(D$8,($C$8-$C$7/2)+Assumptions!$B$92)-MAX((D$8-D$7),($C$8-$C$7/2)))</f>
        <v>3524.021855</v>
      </c>
      <c r="E65" s="119">
        <f>$C$17/Assumptions!$B$92*MAX(0,MIN(E$8,($C$8-$C$7/2)+Assumptions!$B$92)-MAX((E$8-E$7),($C$8-$C$7/2)))</f>
        <v>3524.021855</v>
      </c>
      <c r="F65" s="119">
        <f>$C$17/Assumptions!$B$92*MAX(0,MIN(F$8,($C$8-$C$7/2)+Assumptions!$B$92)-MAX((F$8-F$7),($C$8-$C$7/2)))</f>
        <v>3524.021855</v>
      </c>
      <c r="G65" s="119">
        <f>$C$17/Assumptions!$B$92*MAX(0,MIN(G$8,($C$8-$C$7/2)+Assumptions!$B$92)-MAX((G$8-G$7),($C$8-$C$7/2)))</f>
        <v>3524.021855</v>
      </c>
      <c r="H65" s="119">
        <f>$C$17/Assumptions!$B$92*MAX(0,MIN(H$8,($C$8-$C$7/2)+Assumptions!$B$92)-MAX((H$8-H$7),($C$8-$C$7/2)))</f>
        <v>3524.021855</v>
      </c>
      <c r="I65" s="119">
        <f>$C$17/Assumptions!$B$92*MAX(0,MIN(I$8,($C$8-$C$7/2)+Assumptions!$B$92)-MAX((I$8-I$7),($C$8-$C$7/2)))</f>
        <v>3524.021855</v>
      </c>
      <c r="J65" s="119">
        <f>$C$17/Assumptions!$B$92*MAX(0,MIN(J$8,($C$8-$C$7/2)+Assumptions!$B$92)-MAX((J$8-J$7),($C$8-$C$7/2)))</f>
        <v>3524.021855</v>
      </c>
      <c r="K65" s="119">
        <f>$C$17/Assumptions!$B$92*MAX(0,MIN(K$8,($C$8-$C$7/2)+Assumptions!$B$92)-MAX((K$8-K$7),($C$8-$C$7/2)))</f>
        <v>3524.021855</v>
      </c>
      <c r="L65" s="119">
        <f>$C$17/Assumptions!$B$92*MAX(0,MIN(L$8,($C$8-$C$7/2)+Assumptions!$B$92)-MAX((L$8-L$7),($C$8-$C$7/2)))</f>
        <v>3524.021855</v>
      </c>
    </row>
    <row r="66" ht="21.0" customHeight="1">
      <c r="A66" s="81" t="s">
        <v>551</v>
      </c>
      <c r="B66" s="119">
        <f t="shared" si="34"/>
        <v>0</v>
      </c>
      <c r="C66" s="119">
        <f t="shared" ref="C66:C74" si="35">0</f>
        <v>0</v>
      </c>
      <c r="D66" s="119">
        <f>$D$17/Assumptions!$B$92*MAX(0,MIN(D$8,($D$8-$D$7/2)+Assumptions!$B$92)-MAX((D$8-D$7),($D$8-$D$7/2)))</f>
        <v>1971.214864</v>
      </c>
      <c r="E66" s="119">
        <f>$D$17/Assumptions!$B$92*MAX(0,MIN(E$8,($D$8-$D$7/2)+Assumptions!$B$92)-MAX((E$8-E$7),($D$8-$D$7/2)))</f>
        <v>3942.429727</v>
      </c>
      <c r="F66" s="119">
        <f>$D$17/Assumptions!$B$92*MAX(0,MIN(F$8,($D$8-$D$7/2)+Assumptions!$B$92)-MAX((F$8-F$7),($D$8-$D$7/2)))</f>
        <v>3942.429727</v>
      </c>
      <c r="G66" s="119">
        <f>$D$17/Assumptions!$B$92*MAX(0,MIN(G$8,($D$8-$D$7/2)+Assumptions!$B$92)-MAX((G$8-G$7),($D$8-$D$7/2)))</f>
        <v>3942.429727</v>
      </c>
      <c r="H66" s="119">
        <f>$D$17/Assumptions!$B$92*MAX(0,MIN(H$8,($D$8-$D$7/2)+Assumptions!$B$92)-MAX((H$8-H$7),($D$8-$D$7/2)))</f>
        <v>3942.429727</v>
      </c>
      <c r="I66" s="119">
        <f>$D$17/Assumptions!$B$92*MAX(0,MIN(I$8,($D$8-$D$7/2)+Assumptions!$B$92)-MAX((I$8-I$7),($D$8-$D$7/2)))</f>
        <v>3942.429727</v>
      </c>
      <c r="J66" s="119">
        <f>$D$17/Assumptions!$B$92*MAX(0,MIN(J$8,($D$8-$D$7/2)+Assumptions!$B$92)-MAX((J$8-J$7),($D$8-$D$7/2)))</f>
        <v>3942.429727</v>
      </c>
      <c r="K66" s="119">
        <f>$D$17/Assumptions!$B$92*MAX(0,MIN(K$8,($D$8-$D$7/2)+Assumptions!$B$92)-MAX((K$8-K$7),($D$8-$D$7/2)))</f>
        <v>3942.429727</v>
      </c>
      <c r="L66" s="119">
        <f>$D$17/Assumptions!$B$92*MAX(0,MIN(L$8,($D$8-$D$7/2)+Assumptions!$B$92)-MAX((L$8-L$7),($D$8-$D$7/2)))</f>
        <v>3942.429727</v>
      </c>
    </row>
    <row r="67" ht="21.0" customHeight="1">
      <c r="A67" s="81" t="s">
        <v>552</v>
      </c>
      <c r="B67" s="119">
        <f t="shared" si="34"/>
        <v>0</v>
      </c>
      <c r="C67" s="119">
        <f t="shared" si="35"/>
        <v>0</v>
      </c>
      <c r="D67" s="119">
        <f t="shared" ref="D67:D74" si="36">0</f>
        <v>0</v>
      </c>
      <c r="E67" s="119">
        <f>$E$17/Assumptions!$B$92*MAX(0,MIN(E$8,($E$8-$E$7/2)+Assumptions!$B$92)-MAX((E$8-E$7),($E$8-$E$7/2)))</f>
        <v>2057.756789</v>
      </c>
      <c r="F67" s="119">
        <f>$E$17/Assumptions!$B$92*MAX(0,MIN(F$8,($E$8-$E$7/2)+Assumptions!$B$92)-MAX((F$8-F$7),($E$8-$E$7/2)))</f>
        <v>4115.513577</v>
      </c>
      <c r="G67" s="119">
        <f>$E$17/Assumptions!$B$92*MAX(0,MIN(G$8,($E$8-$E$7/2)+Assumptions!$B$92)-MAX((G$8-G$7),($E$8-$E$7/2)))</f>
        <v>4115.513577</v>
      </c>
      <c r="H67" s="119">
        <f>$E$17/Assumptions!$B$92*MAX(0,MIN(H$8,($E$8-$E$7/2)+Assumptions!$B$92)-MAX((H$8-H$7),($E$8-$E$7/2)))</f>
        <v>4115.513577</v>
      </c>
      <c r="I67" s="119">
        <f>$E$17/Assumptions!$B$92*MAX(0,MIN(I$8,($E$8-$E$7/2)+Assumptions!$B$92)-MAX((I$8-I$7),($E$8-$E$7/2)))</f>
        <v>4115.513577</v>
      </c>
      <c r="J67" s="119">
        <f>$E$17/Assumptions!$B$92*MAX(0,MIN(J$8,($E$8-$E$7/2)+Assumptions!$B$92)-MAX((J$8-J$7),($E$8-$E$7/2)))</f>
        <v>4115.513577</v>
      </c>
      <c r="K67" s="119">
        <f>$E$17/Assumptions!$B$92*MAX(0,MIN(K$8,($E$8-$E$7/2)+Assumptions!$B$92)-MAX((K$8-K$7),($E$8-$E$7/2)))</f>
        <v>4115.513577</v>
      </c>
      <c r="L67" s="119">
        <f>$E$17/Assumptions!$B$92*MAX(0,MIN(L$8,($E$8-$E$7/2)+Assumptions!$B$92)-MAX((L$8-L$7),($E$8-$E$7/2)))</f>
        <v>4115.513577</v>
      </c>
    </row>
    <row r="68" ht="21.0" customHeight="1">
      <c r="A68" s="81" t="s">
        <v>553</v>
      </c>
      <c r="B68" s="119">
        <f t="shared" si="34"/>
        <v>0</v>
      </c>
      <c r="C68" s="119">
        <f t="shared" si="35"/>
        <v>0</v>
      </c>
      <c r="D68" s="119">
        <f t="shared" si="36"/>
        <v>0</v>
      </c>
      <c r="E68" s="119">
        <f t="shared" ref="E68:E74" si="37">0</f>
        <v>0</v>
      </c>
      <c r="F68" s="119">
        <f>$F$17/Assumptions!$B$92*MAX(0,MIN(F$8,($F$8-$F$7/2)+Assumptions!$B$92)-MAX((F$8-F$7),($F$8-$F$7/2)))</f>
        <v>2093.756156</v>
      </c>
      <c r="G68" s="119">
        <f>$F$17/Assumptions!$B$92*MAX(0,MIN(G$8,($F$8-$F$7/2)+Assumptions!$B$92)-MAX((G$8-G$7),($F$8-$F$7/2)))</f>
        <v>4187.512311</v>
      </c>
      <c r="H68" s="119">
        <f>$F$17/Assumptions!$B$92*MAX(0,MIN(H$8,($F$8-$F$7/2)+Assumptions!$B$92)-MAX((H$8-H$7),($F$8-$F$7/2)))</f>
        <v>4187.512311</v>
      </c>
      <c r="I68" s="119">
        <f>$F$17/Assumptions!$B$92*MAX(0,MIN(I$8,($F$8-$F$7/2)+Assumptions!$B$92)-MAX((I$8-I$7),($F$8-$F$7/2)))</f>
        <v>4187.512311</v>
      </c>
      <c r="J68" s="119">
        <f>$F$17/Assumptions!$B$92*MAX(0,MIN(J$8,($F$8-$F$7/2)+Assumptions!$B$92)-MAX((J$8-J$7),($F$8-$F$7/2)))</f>
        <v>4187.512311</v>
      </c>
      <c r="K68" s="119">
        <f>$F$17/Assumptions!$B$92*MAX(0,MIN(K$8,($F$8-$F$7/2)+Assumptions!$B$92)-MAX((K$8-K$7),($F$8-$F$7/2)))</f>
        <v>4187.512311</v>
      </c>
      <c r="L68" s="119">
        <f>$F$17/Assumptions!$B$92*MAX(0,MIN(L$8,($F$8-$F$7/2)+Assumptions!$B$92)-MAX((L$8-L$7),($F$8-$F$7/2)))</f>
        <v>4187.512311</v>
      </c>
    </row>
    <row r="69" ht="21.0" customHeight="1">
      <c r="A69" s="81" t="s">
        <v>554</v>
      </c>
      <c r="B69" s="119">
        <f t="shared" si="34"/>
        <v>0</v>
      </c>
      <c r="C69" s="119">
        <f t="shared" si="35"/>
        <v>0</v>
      </c>
      <c r="D69" s="119">
        <f t="shared" si="36"/>
        <v>0</v>
      </c>
      <c r="E69" s="119">
        <f t="shared" si="37"/>
        <v>0</v>
      </c>
      <c r="F69" s="119">
        <f t="shared" ref="F69:F74" si="38">0</f>
        <v>0</v>
      </c>
      <c r="G69" s="119">
        <f>$G$17/Assumptions!$B$92*MAX(0,MIN(G$8,($G$8-$G$7/2)+Assumptions!$B$92)-MAX((G$8-G$7),($G$8-$G$7/2)))</f>
        <v>2098.409476</v>
      </c>
      <c r="H69" s="119">
        <f>$G$17/Assumptions!$B$92*MAX(0,MIN(H$8,($G$8-$G$7/2)+Assumptions!$B$92)-MAX((H$8-H$7),($G$8-$G$7/2)))</f>
        <v>4196.818951</v>
      </c>
      <c r="I69" s="119">
        <f>$G$17/Assumptions!$B$92*MAX(0,MIN(I$8,($G$8-$G$7/2)+Assumptions!$B$92)-MAX((I$8-I$7),($G$8-$G$7/2)))</f>
        <v>4196.818951</v>
      </c>
      <c r="J69" s="119">
        <f>$G$17/Assumptions!$B$92*MAX(0,MIN(J$8,($G$8-$G$7/2)+Assumptions!$B$92)-MAX((J$8-J$7),($G$8-$G$7/2)))</f>
        <v>4196.818951</v>
      </c>
      <c r="K69" s="119">
        <f>$G$17/Assumptions!$B$92*MAX(0,MIN(K$8,($G$8-$G$7/2)+Assumptions!$B$92)-MAX((K$8-K$7),($G$8-$G$7/2)))</f>
        <v>4196.818951</v>
      </c>
      <c r="L69" s="119">
        <f>$G$17/Assumptions!$B$92*MAX(0,MIN(L$8,($G$8-$G$7/2)+Assumptions!$B$92)-MAX((L$8-L$7),($G$8-$G$7/2)))</f>
        <v>4196.818951</v>
      </c>
    </row>
    <row r="70" ht="21.0" customHeight="1">
      <c r="A70" s="81" t="s">
        <v>555</v>
      </c>
      <c r="B70" s="119">
        <f t="shared" si="34"/>
        <v>0</v>
      </c>
      <c r="C70" s="119">
        <f t="shared" si="35"/>
        <v>0</v>
      </c>
      <c r="D70" s="119">
        <f t="shared" si="36"/>
        <v>0</v>
      </c>
      <c r="E70" s="119">
        <f t="shared" si="37"/>
        <v>0</v>
      </c>
      <c r="F70" s="119">
        <f t="shared" si="38"/>
        <v>0</v>
      </c>
      <c r="G70" s="119">
        <f t="shared" ref="G70:G74" si="39">0</f>
        <v>0</v>
      </c>
      <c r="H70" s="119">
        <f>$H$17/Assumptions!$B$92*MAX(0,MIN(H$8,($H$8-$H$7/2)+Assumptions!$B$92)-MAX((H$8-H$7),($H$8-$H$7/2)))</f>
        <v>2135.327764</v>
      </c>
      <c r="I70" s="119">
        <f>$H$17/Assumptions!$B$92*MAX(0,MIN(I$8,($H$8-$H$7/2)+Assumptions!$B$92)-MAX((I$8-I$7),($H$8-$H$7/2)))</f>
        <v>4270.655528</v>
      </c>
      <c r="J70" s="119">
        <f>$H$17/Assumptions!$B$92*MAX(0,MIN(J$8,($H$8-$H$7/2)+Assumptions!$B$92)-MAX((J$8-J$7),($H$8-$H$7/2)))</f>
        <v>4270.655528</v>
      </c>
      <c r="K70" s="119">
        <f>$H$17/Assumptions!$B$92*MAX(0,MIN(K$8,($H$8-$H$7/2)+Assumptions!$B$92)-MAX((K$8-K$7),($H$8-$H$7/2)))</f>
        <v>4270.655528</v>
      </c>
      <c r="L70" s="119">
        <f>$H$17/Assumptions!$B$92*MAX(0,MIN(L$8,($H$8-$H$7/2)+Assumptions!$B$92)-MAX((L$8-L$7),($H$8-$H$7/2)))</f>
        <v>4270.655528</v>
      </c>
    </row>
    <row r="71" ht="21.0" customHeight="1">
      <c r="A71" s="81" t="s">
        <v>556</v>
      </c>
      <c r="B71" s="119">
        <f t="shared" si="34"/>
        <v>0</v>
      </c>
      <c r="C71" s="119">
        <f t="shared" si="35"/>
        <v>0</v>
      </c>
      <c r="D71" s="119">
        <f t="shared" si="36"/>
        <v>0</v>
      </c>
      <c r="E71" s="119">
        <f t="shared" si="37"/>
        <v>0</v>
      </c>
      <c r="F71" s="119">
        <f t="shared" si="38"/>
        <v>0</v>
      </c>
      <c r="G71" s="119">
        <f t="shared" si="39"/>
        <v>0</v>
      </c>
      <c r="H71" s="119">
        <f t="shared" ref="H71:H74" si="40">0</f>
        <v>0</v>
      </c>
      <c r="I71" s="119">
        <f>$I$17/Assumptions!$B$92*MAX(0,MIN(I$8,($I$8-$I$7/2)+Assumptions!$B$92)-MAX((I$8-I$7),($I$8-$I$7/2)))</f>
        <v>2192.643459</v>
      </c>
      <c r="J71" s="119">
        <f>$I$17/Assumptions!$B$92*MAX(0,MIN(J$8,($I$8-$I$7/2)+Assumptions!$B$92)-MAX((J$8-J$7),($I$8-$I$7/2)))</f>
        <v>4385.286917</v>
      </c>
      <c r="K71" s="119">
        <f>$I$17/Assumptions!$B$92*MAX(0,MIN(K$8,($I$8-$I$7/2)+Assumptions!$B$92)-MAX((K$8-K$7),($I$8-$I$7/2)))</f>
        <v>4385.286917</v>
      </c>
      <c r="L71" s="119">
        <f>$I$17/Assumptions!$B$92*MAX(0,MIN(L$8,($I$8-$I$7/2)+Assumptions!$B$92)-MAX((L$8-L$7),($I$8-$I$7/2)))</f>
        <v>4385.286917</v>
      </c>
    </row>
    <row r="72" ht="21.0" customHeight="1">
      <c r="A72" s="81" t="s">
        <v>557</v>
      </c>
      <c r="B72" s="119">
        <f t="shared" si="34"/>
        <v>0</v>
      </c>
      <c r="C72" s="119">
        <f t="shared" si="35"/>
        <v>0</v>
      </c>
      <c r="D72" s="119">
        <f t="shared" si="36"/>
        <v>0</v>
      </c>
      <c r="E72" s="119">
        <f t="shared" si="37"/>
        <v>0</v>
      </c>
      <c r="F72" s="119">
        <f t="shared" si="38"/>
        <v>0</v>
      </c>
      <c r="G72" s="119">
        <f t="shared" si="39"/>
        <v>0</v>
      </c>
      <c r="H72" s="119">
        <f t="shared" si="40"/>
        <v>0</v>
      </c>
      <c r="I72" s="119">
        <f t="shared" ref="I72:I74" si="41">0</f>
        <v>0</v>
      </c>
      <c r="J72" s="119">
        <f>$J$17/Assumptions!$B$92*MAX(0,MIN(J$8,($J$8-$J$7/2)+Assumptions!$B$92)-MAX((J$8-J$7),($J$8-$J$7/2)))</f>
        <v>2215.227431</v>
      </c>
      <c r="K72" s="119">
        <f>$J$17/Assumptions!$B$92*MAX(0,MIN(K$8,($J$8-$J$7/2)+Assumptions!$B$92)-MAX((K$8-K$7),($J$8-$J$7/2)))</f>
        <v>4430.454861</v>
      </c>
      <c r="L72" s="119">
        <f>$J$17/Assumptions!$B$92*MAX(0,MIN(L$8,($J$8-$J$7/2)+Assumptions!$B$92)-MAX((L$8-L$7),($J$8-$J$7/2)))</f>
        <v>4430.454861</v>
      </c>
    </row>
    <row r="73" ht="21.0" customHeight="1">
      <c r="A73" s="145" t="s">
        <v>558</v>
      </c>
      <c r="B73" s="144">
        <f t="shared" si="34"/>
        <v>0</v>
      </c>
      <c r="C73" s="144">
        <f t="shared" si="35"/>
        <v>0</v>
      </c>
      <c r="D73" s="144">
        <f t="shared" si="36"/>
        <v>0</v>
      </c>
      <c r="E73" s="144">
        <f t="shared" si="37"/>
        <v>0</v>
      </c>
      <c r="F73" s="144">
        <f t="shared" si="38"/>
        <v>0</v>
      </c>
      <c r="G73" s="144">
        <f t="shared" si="39"/>
        <v>0</v>
      </c>
      <c r="H73" s="119">
        <f t="shared" si="40"/>
        <v>0</v>
      </c>
      <c r="I73" s="119">
        <f t="shared" si="41"/>
        <v>0</v>
      </c>
      <c r="J73" s="119">
        <f t="shared" ref="J73:J74" si="42">0</f>
        <v>0</v>
      </c>
      <c r="K73" s="119">
        <f>$K$17/Assumptions!$B$92*MAX(0,MIN(K$8,($K$8-$K$7/2)+Assumptions!$B$92)-MAX((K$8-K$7),($K$8-$K$7/2)))</f>
        <v>2192.829825</v>
      </c>
      <c r="L73" s="119">
        <f>$K$17/Assumptions!$B$92*MAX(0,MIN(L$8,($K$8-$K$7/2)+Assumptions!$B$92)-MAX((L$8-L$7),($K$8-$K$7/2)))</f>
        <v>4385.65965</v>
      </c>
    </row>
    <row r="74" ht="21.0" customHeight="1">
      <c r="A74" s="81" t="s">
        <v>559</v>
      </c>
      <c r="B74" s="119">
        <f t="shared" si="34"/>
        <v>0</v>
      </c>
      <c r="C74" s="119">
        <f t="shared" si="35"/>
        <v>0</v>
      </c>
      <c r="D74" s="119">
        <f t="shared" si="36"/>
        <v>0</v>
      </c>
      <c r="E74" s="119">
        <f t="shared" si="37"/>
        <v>0</v>
      </c>
      <c r="F74" s="119">
        <f t="shared" si="38"/>
        <v>0</v>
      </c>
      <c r="G74" s="119">
        <f t="shared" si="39"/>
        <v>0</v>
      </c>
      <c r="H74" s="119">
        <f t="shared" si="40"/>
        <v>0</v>
      </c>
      <c r="I74" s="119">
        <f t="shared" si="41"/>
        <v>0</v>
      </c>
      <c r="J74" s="119">
        <f t="shared" si="42"/>
        <v>0</v>
      </c>
      <c r="K74" s="119">
        <f>0</f>
        <v>0</v>
      </c>
      <c r="L74" s="119">
        <f>$L$17/Assumptions!$B$92*MAX(0,MIN(L$8,($L$8-$L$7/2)+Assumptions!$B$92)-MAX((L$8-L$7),($L$8-$L$7/2)))</f>
        <v>2255.76088</v>
      </c>
    </row>
    <row r="75" ht="21.0" customHeight="1">
      <c r="A75" s="83"/>
      <c r="B75" s="119"/>
      <c r="C75" s="119"/>
      <c r="D75" s="119"/>
      <c r="E75" s="119"/>
      <c r="F75" s="119"/>
      <c r="G75" s="119"/>
      <c r="H75" s="119"/>
      <c r="I75" s="119"/>
      <c r="J75" s="119"/>
      <c r="K75" s="119"/>
      <c r="L75" s="119"/>
    </row>
    <row r="76" ht="21.0" customHeight="1">
      <c r="A76" s="83"/>
      <c r="B76" s="119"/>
      <c r="C76" s="119"/>
      <c r="D76" s="119"/>
      <c r="E76" s="119"/>
      <c r="F76" s="119"/>
      <c r="G76" s="119"/>
      <c r="H76" s="119"/>
      <c r="I76" s="119"/>
      <c r="J76" s="119"/>
      <c r="K76" s="119"/>
      <c r="L76" s="119"/>
    </row>
    <row r="77" ht="21.0" customHeight="1">
      <c r="A77" s="80" t="s">
        <v>560</v>
      </c>
      <c r="B77" s="142"/>
      <c r="C77" s="142"/>
      <c r="D77" s="142"/>
      <c r="E77" s="142"/>
      <c r="F77" s="142"/>
      <c r="G77" s="142"/>
      <c r="H77" s="142"/>
      <c r="I77" s="142"/>
      <c r="J77" s="142"/>
      <c r="K77" s="142"/>
      <c r="L77" s="142"/>
    </row>
    <row r="78" ht="21.0" customHeight="1">
      <c r="A78" s="81" t="s">
        <v>561</v>
      </c>
      <c r="B78" s="119">
        <f t="shared" ref="B78:B88" si="43">0</f>
        <v>0</v>
      </c>
      <c r="C78" s="119">
        <f>IF(AND(($B$8-$B$7/2)+Assumptions!$B$67&gt;(C$8-C$7),($B$8-$B$7/2)+Assumptions!$B$67&lt;=C$8),$B$16,0)</f>
        <v>0</v>
      </c>
      <c r="D78" s="119">
        <f>IF(AND(($B$8-$B$7/2)+Assumptions!$B$67&gt;(D$8-D$7),($B$8-$B$7/2)+Assumptions!$B$67&lt;=D$8),$B$16,0)</f>
        <v>0</v>
      </c>
      <c r="E78" s="119">
        <f>IF(AND(($B$8-$B$7/2)+Assumptions!$B$67&gt;(E$8-E$7),($B$8-$B$7/2)+Assumptions!$B$67&lt;=E$8),$B$16,0)</f>
        <v>0</v>
      </c>
      <c r="F78" s="119">
        <f>IF(AND(($B$8-$B$7/2)+Assumptions!$B$67&gt;(F$8-F$7),($B$8-$B$7/2)+Assumptions!$B$67&lt;=F$8),$B$16,0)</f>
        <v>0</v>
      </c>
      <c r="G78" s="119">
        <f>IF(AND(($B$8-$B$7/2)+Assumptions!$B$67&gt;(G$8-G$7),($B$8-$B$7/2)+Assumptions!$B$67&lt;=G$8),$B$16,0)</f>
        <v>32852.7</v>
      </c>
      <c r="H78" s="119">
        <f>IF(AND(($B$8-$B$7/2)+Assumptions!$B$67&gt;(H$8-H$7),($B$8-$B$7/2)+Assumptions!$B$67&lt;=H$8),$B$16,0)</f>
        <v>0</v>
      </c>
      <c r="I78" s="119">
        <f>IF(AND(($B$8-$B$7/2)+Assumptions!$B$67&gt;(I$8-I$7),($B$8-$B$7/2)+Assumptions!$B$67&lt;=I$8),$B$16,0)</f>
        <v>0</v>
      </c>
      <c r="J78" s="119">
        <f>IF(AND(($B$8-$B$7/2)+Assumptions!$B$67&gt;(J$8-J$7),($B$8-$B$7/2)+Assumptions!$B$67&lt;=J$8),$B$16,0)</f>
        <v>0</v>
      </c>
      <c r="K78" s="119">
        <f>IF(AND(($B$8-$B$7/2)+Assumptions!$B$67&gt;(K$8-K$7),($B$8-$B$7/2)+Assumptions!$B$67&lt;=K$8),$B$16,0)</f>
        <v>0</v>
      </c>
      <c r="L78" s="119">
        <f>IF(AND(($B$8-$B$7/2)+Assumptions!$B$67&gt;(L$8-L$7),($B$8-$B$7/2)+Assumptions!$B$67&lt;=L$8),$B$16,0)</f>
        <v>0</v>
      </c>
    </row>
    <row r="79" ht="21.0" customHeight="1">
      <c r="A79" s="81" t="s">
        <v>562</v>
      </c>
      <c r="B79" s="119">
        <f t="shared" si="43"/>
        <v>0</v>
      </c>
      <c r="C79" s="119">
        <f t="shared" ref="C79:C88" si="44">0</f>
        <v>0</v>
      </c>
      <c r="D79" s="119">
        <f>IF(AND(($C$8-$C$7/2)+Assumptions!$C$67&gt;(D$8-D$7),($C$8-$C$7/2)+Assumptions!$C$67&lt;=D$8),$C$16,0)</f>
        <v>0</v>
      </c>
      <c r="E79" s="119">
        <f>IF(AND(($C$8-$C$7/2)+Assumptions!$C$67&gt;(E$8-E$7),($C$8-$C$7/2)+Assumptions!$C$67&lt;=E$8),$C$16,0)</f>
        <v>0</v>
      </c>
      <c r="F79" s="119">
        <f>IF(AND(($C$8-$C$7/2)+Assumptions!$C$67&gt;(F$8-F$7),($C$8-$C$7/2)+Assumptions!$C$67&lt;=F$8),$C$16,0)</f>
        <v>0</v>
      </c>
      <c r="G79" s="119">
        <f>IF(AND(($C$8-$C$7/2)+Assumptions!$C$67&gt;(G$8-G$7),($C$8-$C$7/2)+Assumptions!$C$67&lt;=G$8),$C$16,0)</f>
        <v>0</v>
      </c>
      <c r="H79" s="119">
        <f>IF(AND(($C$8-$C$7/2)+Assumptions!$C$67&gt;(H$8-H$7),($C$8-$C$7/2)+Assumptions!$C$67&lt;=H$8),$C$16,0)</f>
        <v>105720.6557</v>
      </c>
      <c r="I79" s="119">
        <f>IF(AND(($C$8-$C$7/2)+Assumptions!$C$67&gt;(I$8-I$7),($C$8-$C$7/2)+Assumptions!$C$67&lt;=I$8),$C$16,0)</f>
        <v>0</v>
      </c>
      <c r="J79" s="119">
        <f>IF(AND(($C$8-$C$7/2)+Assumptions!$C$67&gt;(J$8-J$7),($C$8-$C$7/2)+Assumptions!$C$67&lt;=J$8),$C$16,0)</f>
        <v>0</v>
      </c>
      <c r="K79" s="119">
        <f>IF(AND(($C$8-$C$7/2)+Assumptions!$C$67&gt;(K$8-K$7),($C$8-$C$7/2)+Assumptions!$C$67&lt;=K$8),$C$16,0)</f>
        <v>0</v>
      </c>
      <c r="L79" s="119">
        <f>IF(AND(($C$8-$C$7/2)+Assumptions!$C$67&gt;(L$8-L$7),($C$8-$C$7/2)+Assumptions!$C$67&lt;=L$8),$C$16,0)</f>
        <v>0</v>
      </c>
    </row>
    <row r="80" ht="21.0" customHeight="1">
      <c r="A80" s="81" t="s">
        <v>563</v>
      </c>
      <c r="B80" s="119">
        <f t="shared" si="43"/>
        <v>0</v>
      </c>
      <c r="C80" s="119">
        <f t="shared" si="44"/>
        <v>0</v>
      </c>
      <c r="D80" s="119">
        <f t="shared" ref="D80:D88" si="45">0</f>
        <v>0</v>
      </c>
      <c r="E80" s="119">
        <f>IF(AND(($D$8-$D$7/2)+Assumptions!$D$67&gt;(E$8-E$7),($D$8-$D$7/2)+Assumptions!$D$67&lt;=E$8),$D$16,0)</f>
        <v>0</v>
      </c>
      <c r="F80" s="119">
        <f>IF(AND(($D$8-$D$7/2)+Assumptions!$D$67&gt;(F$8-F$7),($D$8-$D$7/2)+Assumptions!$D$67&lt;=F$8),$D$16,0)</f>
        <v>0</v>
      </c>
      <c r="G80" s="119">
        <f>IF(AND(($D$8-$D$7/2)+Assumptions!$D$67&gt;(G$8-G$7),($D$8-$D$7/2)+Assumptions!$D$67&lt;=G$8),$D$16,0)</f>
        <v>0</v>
      </c>
      <c r="H80" s="119">
        <f>IF(AND(($D$8-$D$7/2)+Assumptions!$D$67&gt;(H$8-H$7),($D$8-$D$7/2)+Assumptions!$D$67&lt;=H$8),$D$16,0)</f>
        <v>0</v>
      </c>
      <c r="I80" s="119">
        <f>IF(AND(($D$8-$D$7/2)+Assumptions!$D$67&gt;(I$8-I$7),($D$8-$D$7/2)+Assumptions!$D$67&lt;=I$8),$D$16,0)</f>
        <v>118272.8918</v>
      </c>
      <c r="J80" s="119">
        <f>IF(AND(($D$8-$D$7/2)+Assumptions!$D$67&gt;(J$8-J$7),($D$8-$D$7/2)+Assumptions!$D$67&lt;=J$8),$D$16,0)</f>
        <v>0</v>
      </c>
      <c r="K80" s="119">
        <f>IF(AND(($D$8-$D$7/2)+Assumptions!$D$67&gt;(K$8-K$7),($D$8-$D$7/2)+Assumptions!$D$67&lt;=K$8),$D$16,0)</f>
        <v>0</v>
      </c>
      <c r="L80" s="119">
        <f>IF(AND(($D$8-$D$7/2)+Assumptions!$D$67&gt;(L$8-L$7),($D$8-$D$7/2)+Assumptions!$D$67&lt;=L$8),$D$16,0)</f>
        <v>0</v>
      </c>
    </row>
    <row r="81" ht="21.0" customHeight="1">
      <c r="A81" s="81" t="s">
        <v>564</v>
      </c>
      <c r="B81" s="119">
        <f t="shared" si="43"/>
        <v>0</v>
      </c>
      <c r="C81" s="119">
        <f t="shared" si="44"/>
        <v>0</v>
      </c>
      <c r="D81" s="119">
        <f t="shared" si="45"/>
        <v>0</v>
      </c>
      <c r="E81" s="119">
        <f t="shared" ref="E81:E88" si="46">0</f>
        <v>0</v>
      </c>
      <c r="F81" s="119">
        <f>IF(AND(($E$8-$E$7/2)+Assumptions!$E$67&gt;(F$8-F$7),($E$8-$E$7/2)+Assumptions!$E$67&lt;=F$8),$E$16,0)</f>
        <v>0</v>
      </c>
      <c r="G81" s="119">
        <f>IF(AND(($E$8-$E$7/2)+Assumptions!$E$67&gt;(G$8-G$7),($E$8-$E$7/2)+Assumptions!$E$67&lt;=G$8),$E$16,0)</f>
        <v>0</v>
      </c>
      <c r="H81" s="119">
        <f>IF(AND(($E$8-$E$7/2)+Assumptions!$E$67&gt;(H$8-H$7),($E$8-$E$7/2)+Assumptions!$E$67&lt;=H$8),$E$16,0)</f>
        <v>0</v>
      </c>
      <c r="I81" s="119">
        <f>IF(AND(($E$8-$E$7/2)+Assumptions!$E$67&gt;(I$8-I$7),($E$8-$E$7/2)+Assumptions!$E$67&lt;=I$8),$E$16,0)</f>
        <v>0</v>
      </c>
      <c r="J81" s="119">
        <f>IF(AND(($E$8-$E$7/2)+Assumptions!$E$67&gt;(J$8-J$7),($E$8-$E$7/2)+Assumptions!$E$67&lt;=J$8),$E$16,0)</f>
        <v>123465.4073</v>
      </c>
      <c r="K81" s="119">
        <f>IF(AND(($E$8-$E$7/2)+Assumptions!$E$67&gt;(K$8-K$7),($E$8-$E$7/2)+Assumptions!$E$67&lt;=K$8),$E$16,0)</f>
        <v>0</v>
      </c>
      <c r="L81" s="119">
        <f>IF(AND(($E$8-$E$7/2)+Assumptions!$E$67&gt;(L$8-L$7),($E$8-$E$7/2)+Assumptions!$E$67&lt;=L$8),$E$16,0)</f>
        <v>0</v>
      </c>
    </row>
    <row r="82" ht="21.0" customHeight="1">
      <c r="A82" s="81" t="s">
        <v>565</v>
      </c>
      <c r="B82" s="119">
        <f t="shared" si="43"/>
        <v>0</v>
      </c>
      <c r="C82" s="119">
        <f t="shared" si="44"/>
        <v>0</v>
      </c>
      <c r="D82" s="119">
        <f t="shared" si="45"/>
        <v>0</v>
      </c>
      <c r="E82" s="119">
        <f t="shared" si="46"/>
        <v>0</v>
      </c>
      <c r="F82" s="119">
        <f t="shared" ref="F82:F88" si="47">0</f>
        <v>0</v>
      </c>
      <c r="G82" s="119">
        <f>IF(AND(($F$8-$F$7/2)+Assumptions!$F$67&gt;(G$8-G$7),($F$8-$F$7/2)+Assumptions!$F$67&lt;=G$8),$F$16,0)</f>
        <v>0</v>
      </c>
      <c r="H82" s="119">
        <f>IF(AND(($F$8-$F$7/2)+Assumptions!$F$67&gt;(H$8-H$7),($F$8-$F$7/2)+Assumptions!$F$67&lt;=H$8),$F$16,0)</f>
        <v>0</v>
      </c>
      <c r="I82" s="119">
        <f>IF(AND(($F$8-$F$7/2)+Assumptions!$F$67&gt;(I$8-I$7),($F$8-$F$7/2)+Assumptions!$F$67&lt;=I$8),$F$16,0)</f>
        <v>0</v>
      </c>
      <c r="J82" s="119">
        <f>IF(AND(($F$8-$F$7/2)+Assumptions!$F$67&gt;(J$8-J$7),($F$8-$F$7/2)+Assumptions!$F$67&lt;=J$8),$F$16,0)</f>
        <v>0</v>
      </c>
      <c r="K82" s="119">
        <f>IF(AND(($F$8-$F$7/2)+Assumptions!$F$67&gt;(K$8-K$7),($F$8-$F$7/2)+Assumptions!$F$67&lt;=K$8),$F$16,0)</f>
        <v>125625.3693</v>
      </c>
      <c r="L82" s="119">
        <f>IF(AND(($F$8-$F$7/2)+Assumptions!$F$67&gt;(L$8-L$7),($F$8-$F$7/2)+Assumptions!$F$67&lt;=L$8),$F$16,0)</f>
        <v>0</v>
      </c>
    </row>
    <row r="83" ht="21.0" customHeight="1">
      <c r="A83" s="81" t="s">
        <v>566</v>
      </c>
      <c r="B83" s="119">
        <f t="shared" si="43"/>
        <v>0</v>
      </c>
      <c r="C83" s="119">
        <f t="shared" si="44"/>
        <v>0</v>
      </c>
      <c r="D83" s="119">
        <f t="shared" si="45"/>
        <v>0</v>
      </c>
      <c r="E83" s="119">
        <f t="shared" si="46"/>
        <v>0</v>
      </c>
      <c r="F83" s="119">
        <f t="shared" si="47"/>
        <v>0</v>
      </c>
      <c r="G83" s="119">
        <f t="shared" ref="G83:G88" si="48">0</f>
        <v>0</v>
      </c>
      <c r="H83" s="119">
        <f>IF(AND(($G$8-$G$7/2)+Assumptions!$G$67&gt;(H$8-H$7),($G$8-$G$7/2)+Assumptions!$G$67&lt;=H$8),$G$16,0)</f>
        <v>0</v>
      </c>
      <c r="I83" s="119">
        <f>IF(AND(($G$8-$G$7/2)+Assumptions!$G$67&gt;(I$8-I$7),($G$8-$G$7/2)+Assumptions!$G$67&lt;=I$8),$G$16,0)</f>
        <v>0</v>
      </c>
      <c r="J83" s="119">
        <f>IF(AND(($G$8-$G$7/2)+Assumptions!$G$67&gt;(J$8-J$7),($G$8-$G$7/2)+Assumptions!$G$67&lt;=J$8),$G$16,0)</f>
        <v>0</v>
      </c>
      <c r="K83" s="119">
        <f>IF(AND(($G$8-$G$7/2)+Assumptions!$G$67&gt;(K$8-K$7),($G$8-$G$7/2)+Assumptions!$G$67&lt;=K$8),$G$16,0)</f>
        <v>0</v>
      </c>
      <c r="L83" s="119">
        <f>IF(AND(($G$8-$G$7/2)+Assumptions!$G$67&gt;(L$8-L$7),($G$8-$G$7/2)+Assumptions!$G$67&lt;=L$8),$G$16,0)</f>
        <v>125904.5685</v>
      </c>
    </row>
    <row r="84" ht="21.0" customHeight="1">
      <c r="A84" s="81" t="s">
        <v>567</v>
      </c>
      <c r="B84" s="119">
        <f t="shared" si="43"/>
        <v>0</v>
      </c>
      <c r="C84" s="119">
        <f t="shared" si="44"/>
        <v>0</v>
      </c>
      <c r="D84" s="119">
        <f t="shared" si="45"/>
        <v>0</v>
      </c>
      <c r="E84" s="119">
        <f t="shared" si="46"/>
        <v>0</v>
      </c>
      <c r="F84" s="119">
        <f t="shared" si="47"/>
        <v>0</v>
      </c>
      <c r="G84" s="119">
        <f t="shared" si="48"/>
        <v>0</v>
      </c>
      <c r="H84" s="119">
        <f t="shared" ref="H84:H88" si="49">0</f>
        <v>0</v>
      </c>
      <c r="I84" s="119">
        <f>IF(AND(($H$8-$H$7/2)+Assumptions!$G$67&gt;(I$8-I$7),($H$8-$H$7/2)+Assumptions!$G$67&lt;=I$8),$H$16,0)</f>
        <v>0</v>
      </c>
      <c r="J84" s="119">
        <f>IF(AND(($H$8-$H$7/2)+Assumptions!$G$67&gt;(J$8-J$7),($H$8-$H$7/2)+Assumptions!$G$67&lt;=J$8),$H$16,0)</f>
        <v>0</v>
      </c>
      <c r="K84" s="119">
        <f>IF(AND(($H$8-$H$7/2)+Assumptions!$G$67&gt;(K$8-K$7),($H$8-$H$7/2)+Assumptions!$G$67&lt;=K$8),$H$16,0)</f>
        <v>0</v>
      </c>
      <c r="L84" s="119">
        <f>IF(AND(($H$8-$H$7/2)+Assumptions!$G$67&gt;(L$8-L$7),($H$8-$H$7/2)+Assumptions!$G$67&lt;=L$8),$H$16,0)</f>
        <v>0</v>
      </c>
    </row>
    <row r="85" ht="21.0" customHeight="1">
      <c r="A85" s="81" t="s">
        <v>568</v>
      </c>
      <c r="B85" s="119">
        <f t="shared" si="43"/>
        <v>0</v>
      </c>
      <c r="C85" s="119">
        <f t="shared" si="44"/>
        <v>0</v>
      </c>
      <c r="D85" s="119">
        <f t="shared" si="45"/>
        <v>0</v>
      </c>
      <c r="E85" s="119">
        <f t="shared" si="46"/>
        <v>0</v>
      </c>
      <c r="F85" s="119">
        <f t="shared" si="47"/>
        <v>0</v>
      </c>
      <c r="G85" s="119">
        <f t="shared" si="48"/>
        <v>0</v>
      </c>
      <c r="H85" s="119">
        <f t="shared" si="49"/>
        <v>0</v>
      </c>
      <c r="I85" s="119">
        <f t="shared" ref="I85:I88" si="50">0</f>
        <v>0</v>
      </c>
      <c r="J85" s="119">
        <f>IF(AND(($I$8-$I$7/2)+Assumptions!$G$67&gt;(J$8-J$7),($I$8-$I$7/2)+Assumptions!$G$67&lt;=J$8),$I$16,0)</f>
        <v>0</v>
      </c>
      <c r="K85" s="119">
        <f>IF(AND(($I$8-$I$7/2)+Assumptions!$G$67&gt;(K$8-K$7),($I$8-$I$7/2)+Assumptions!$G$67&lt;=K$8),$I$16,0)</f>
        <v>0</v>
      </c>
      <c r="L85" s="119">
        <f>IF(AND(($I$8-$I$7/2)+Assumptions!$G$67&gt;(L$8-L$7),($I$8-$I$7/2)+Assumptions!$G$67&lt;=L$8),$I$16,0)</f>
        <v>0</v>
      </c>
    </row>
    <row r="86" ht="21.0" customHeight="1">
      <c r="A86" s="81" t="s">
        <v>569</v>
      </c>
      <c r="B86" s="119">
        <f t="shared" si="43"/>
        <v>0</v>
      </c>
      <c r="C86" s="119">
        <f t="shared" si="44"/>
        <v>0</v>
      </c>
      <c r="D86" s="119">
        <f t="shared" si="45"/>
        <v>0</v>
      </c>
      <c r="E86" s="119">
        <f t="shared" si="46"/>
        <v>0</v>
      </c>
      <c r="F86" s="119">
        <f t="shared" si="47"/>
        <v>0</v>
      </c>
      <c r="G86" s="119">
        <f t="shared" si="48"/>
        <v>0</v>
      </c>
      <c r="H86" s="119">
        <f t="shared" si="49"/>
        <v>0</v>
      </c>
      <c r="I86" s="119">
        <f t="shared" si="50"/>
        <v>0</v>
      </c>
      <c r="J86" s="119">
        <f t="shared" ref="J86:J88" si="51">0</f>
        <v>0</v>
      </c>
      <c r="K86" s="119">
        <f>IF(AND(($J$8-$J$7/2)+Assumptions!$G$67&gt;(K$8-K$7),($J$8-$J$7/2)+Assumptions!$G$67&lt;=K$8),$J$16,0)</f>
        <v>0</v>
      </c>
      <c r="L86" s="119">
        <f>IF(AND(($J$8-$J$7/2)+Assumptions!$G$67&gt;(L$8-L$7),($J$8-$J$7/2)+Assumptions!$G$67&lt;=L$8),$J$16,0)</f>
        <v>0</v>
      </c>
    </row>
    <row r="87" ht="21.0" customHeight="1">
      <c r="A87" s="81" t="s">
        <v>570</v>
      </c>
      <c r="B87" s="119">
        <f t="shared" si="43"/>
        <v>0</v>
      </c>
      <c r="C87" s="119">
        <f t="shared" si="44"/>
        <v>0</v>
      </c>
      <c r="D87" s="119">
        <f t="shared" si="45"/>
        <v>0</v>
      </c>
      <c r="E87" s="119">
        <f t="shared" si="46"/>
        <v>0</v>
      </c>
      <c r="F87" s="119">
        <f t="shared" si="47"/>
        <v>0</v>
      </c>
      <c r="G87" s="119">
        <f t="shared" si="48"/>
        <v>0</v>
      </c>
      <c r="H87" s="119">
        <f t="shared" si="49"/>
        <v>0</v>
      </c>
      <c r="I87" s="119">
        <f t="shared" si="50"/>
        <v>0</v>
      </c>
      <c r="J87" s="119">
        <f t="shared" si="51"/>
        <v>0</v>
      </c>
      <c r="K87" s="119">
        <f t="shared" ref="K87:K88" si="52">0</f>
        <v>0</v>
      </c>
      <c r="L87" s="119">
        <f>IF(AND(($K$8-$K$7/2)+Assumptions!$G$67&gt;(L$8-L$7),($K$8-$K$7/2)+Assumptions!$G$67&lt;=L$8),$K$16,0)</f>
        <v>0</v>
      </c>
    </row>
    <row r="88" ht="21.0" customHeight="1">
      <c r="A88" s="81" t="s">
        <v>571</v>
      </c>
      <c r="B88" s="119">
        <f t="shared" si="43"/>
        <v>0</v>
      </c>
      <c r="C88" s="119">
        <f t="shared" si="44"/>
        <v>0</v>
      </c>
      <c r="D88" s="119">
        <f t="shared" si="45"/>
        <v>0</v>
      </c>
      <c r="E88" s="119">
        <f t="shared" si="46"/>
        <v>0</v>
      </c>
      <c r="F88" s="119">
        <f t="shared" si="47"/>
        <v>0</v>
      </c>
      <c r="G88" s="119">
        <f t="shared" si="48"/>
        <v>0</v>
      </c>
      <c r="H88" s="119">
        <f t="shared" si="49"/>
        <v>0</v>
      </c>
      <c r="I88" s="119">
        <f t="shared" si="50"/>
        <v>0</v>
      </c>
      <c r="J88" s="119">
        <f t="shared" si="51"/>
        <v>0</v>
      </c>
      <c r="K88" s="119">
        <f t="shared" si="52"/>
        <v>0</v>
      </c>
      <c r="L88" s="119">
        <f>0</f>
        <v>0</v>
      </c>
    </row>
    <row r="89" ht="21.0" customHeight="1">
      <c r="A89" s="83"/>
      <c r="B89" s="119"/>
      <c r="C89" s="119"/>
      <c r="D89" s="119"/>
      <c r="E89" s="119"/>
      <c r="F89" s="119"/>
      <c r="G89" s="119"/>
      <c r="H89" s="119"/>
      <c r="I89" s="119"/>
      <c r="J89" s="119"/>
      <c r="K89" s="119"/>
      <c r="L89" s="119"/>
    </row>
    <row r="90" ht="21.0" customHeight="1">
      <c r="A90" s="80" t="s">
        <v>572</v>
      </c>
      <c r="B90" s="142"/>
      <c r="C90" s="142"/>
      <c r="D90" s="142"/>
      <c r="E90" s="142"/>
      <c r="F90" s="142"/>
      <c r="G90" s="142"/>
      <c r="H90" s="142">
        <f>Transition!C38</f>
        <v>74641.35516</v>
      </c>
      <c r="I90" s="142">
        <f>Transition!D38</f>
        <v>68771.68762</v>
      </c>
      <c r="J90" s="142">
        <f>Transition!E38</f>
        <v>59006.89212</v>
      </c>
      <c r="K90" s="142">
        <f>Transition!F38</f>
        <v>44468.09151</v>
      </c>
      <c r="L90" s="142">
        <f>Transition!G38</f>
        <v>69607.08449</v>
      </c>
    </row>
    <row r="91" ht="21.0" customHeight="1">
      <c r="A91" s="81" t="s">
        <v>573</v>
      </c>
      <c r="B91" s="119"/>
      <c r="C91" s="119"/>
      <c r="D91" s="119"/>
      <c r="E91" s="119"/>
      <c r="F91" s="119"/>
      <c r="G91" s="119"/>
      <c r="H91" s="119">
        <f>SUM(H50:H55,H64:H69)</f>
        <v>130287.0994</v>
      </c>
      <c r="I91" s="119">
        <f>SUM(I50:I56,I64:I70)</f>
        <v>137782.3333</v>
      </c>
      <c r="J91" s="119">
        <f>SUM(J50:J57,J64:J71)</f>
        <v>144305.5118</v>
      </c>
      <c r="K91" s="119">
        <f>SUM(K50:K58,K64:K72)</f>
        <v>150409.6182</v>
      </c>
      <c r="L91" s="119">
        <f>SUM(L50:L59,L64:L73)</f>
        <v>155956.242</v>
      </c>
    </row>
    <row r="92" ht="21.0" customHeight="1">
      <c r="A92" s="81" t="s">
        <v>574</v>
      </c>
      <c r="B92" s="146"/>
      <c r="C92" s="146"/>
      <c r="D92" s="146"/>
      <c r="E92" s="146"/>
      <c r="F92" s="146"/>
      <c r="G92" s="146"/>
      <c r="H92" s="146">
        <f>0.5*(Assumptions!$G$72/Assumptions!$G$67+(1-Assumptions!$G$72)/Assumptions!$B$92)</f>
        <v>0.07</v>
      </c>
      <c r="I92" s="146">
        <f>0.5*(Assumptions!$G$72/Assumptions!$G$67+(1-Assumptions!$G$72)/Assumptions!$B$92)</f>
        <v>0.07</v>
      </c>
      <c r="J92" s="146">
        <f>0.5*(Assumptions!$G$72/Assumptions!$G$67+(1-Assumptions!$G$72)/Assumptions!$B$92)</f>
        <v>0.07</v>
      </c>
      <c r="K92" s="146">
        <f>0.5*(Assumptions!$G$72/Assumptions!$G$67+(1-Assumptions!$G$72)/Assumptions!$B$92)</f>
        <v>0.07</v>
      </c>
      <c r="L92" s="146">
        <f>0.5*(Assumptions!$G$72/Assumptions!$G$67+(1-Assumptions!$G$72)/Assumptions!$B$92)</f>
        <v>0.07</v>
      </c>
    </row>
    <row r="93" ht="21.0" customHeight="1">
      <c r="A93" s="81" t="s">
        <v>575</v>
      </c>
      <c r="B93" s="119"/>
      <c r="C93" s="119"/>
      <c r="D93" s="119"/>
      <c r="E93" s="119"/>
      <c r="F93" s="119"/>
      <c r="G93" s="119"/>
      <c r="H93" s="119">
        <f>SUM(H21:H22,H91)+H13*Assumptions!$G$62*H92</f>
        <v>147188.4035</v>
      </c>
      <c r="I93" s="119">
        <f>SUM(I21:I22,I91)+I13*Assumptions!$G$62*I92</f>
        <v>155033.7746</v>
      </c>
      <c r="J93" s="119">
        <f>SUM(J21:J22,J91)+J13*Assumptions!$G$62*J92</f>
        <v>161768.5098</v>
      </c>
      <c r="K93" s="119">
        <f>SUM(K21:K22,K91)+K13*Assumptions!$G$62*K92</f>
        <v>167882.3824</v>
      </c>
      <c r="L93" s="119">
        <f>SUM(L21:L22,L91)+L13*Assumptions!$G$62*L92</f>
        <v>173199.7434</v>
      </c>
    </row>
    <row r="94" ht="21.0" customHeight="1">
      <c r="A94" s="81" t="s">
        <v>576</v>
      </c>
      <c r="B94" s="146"/>
      <c r="C94" s="146"/>
      <c r="D94" s="146"/>
      <c r="E94" s="146"/>
      <c r="F94" s="146"/>
      <c r="G94" s="146"/>
      <c r="H94" s="146">
        <f>0.5*Assumptions!$G$62*H92</f>
        <v>0.021</v>
      </c>
      <c r="I94" s="146">
        <f>0.5*Assumptions!$G$62*I92</f>
        <v>0.021</v>
      </c>
      <c r="J94" s="146">
        <f>0.5*Assumptions!$G$62*J92</f>
        <v>0.021</v>
      </c>
      <c r="K94" s="146">
        <f>0.5*Assumptions!$G$62*K92</f>
        <v>0.021</v>
      </c>
      <c r="L94" s="146">
        <f>0.5*Assumptions!$G$62*L92</f>
        <v>0.021</v>
      </c>
    </row>
    <row r="95" ht="21.0" customHeight="1">
      <c r="A95" s="81" t="s">
        <v>577</v>
      </c>
      <c r="B95" s="119"/>
      <c r="C95" s="119"/>
      <c r="D95" s="119"/>
      <c r="E95" s="119"/>
      <c r="F95" s="119"/>
      <c r="G95" s="119"/>
      <c r="H95" s="119">
        <f t="shared" ref="H95:L95" si="53">MAX(0,(H90+H93-H37)/(1-H94))</f>
        <v>221869.3742</v>
      </c>
      <c r="I95" s="119">
        <f t="shared" si="53"/>
        <v>224301.4101</v>
      </c>
      <c r="J95" s="119">
        <f t="shared" si="53"/>
        <v>221755.2723</v>
      </c>
      <c r="K95" s="119">
        <f t="shared" si="53"/>
        <v>213824.3453</v>
      </c>
      <c r="L95" s="119">
        <f t="shared" si="53"/>
        <v>245718.6379</v>
      </c>
    </row>
    <row r="96" ht="21.0" customHeight="1">
      <c r="A96" s="81" t="s">
        <v>578</v>
      </c>
      <c r="B96" s="119">
        <f t="shared" ref="B96:L96" si="54">B34+B37-B32</f>
        <v>102021.7146</v>
      </c>
      <c r="C96" s="119">
        <f t="shared" si="54"/>
        <v>156008.1706</v>
      </c>
      <c r="D96" s="119">
        <f t="shared" si="54"/>
        <v>124719.3355</v>
      </c>
      <c r="E96" s="119">
        <f t="shared" si="54"/>
        <v>121513.2831</v>
      </c>
      <c r="F96" s="119">
        <f t="shared" si="54"/>
        <v>105440.2203</v>
      </c>
      <c r="G96" s="119">
        <f t="shared" si="54"/>
        <v>77297.47213</v>
      </c>
      <c r="H96" s="119">
        <f t="shared" si="54"/>
        <v>74641.35516</v>
      </c>
      <c r="I96" s="119">
        <f t="shared" si="54"/>
        <v>68771.68762</v>
      </c>
      <c r="J96" s="119">
        <f t="shared" si="54"/>
        <v>59006.89212</v>
      </c>
      <c r="K96" s="119">
        <f t="shared" si="54"/>
        <v>44468.09151</v>
      </c>
      <c r="L96" s="119">
        <f t="shared" si="54"/>
        <v>69607.08449</v>
      </c>
    </row>
    <row r="97" ht="21.0" customHeight="1">
      <c r="A97" s="81" t="s">
        <v>579</v>
      </c>
      <c r="B97" s="119"/>
      <c r="C97" s="119"/>
      <c r="D97" s="119"/>
      <c r="E97" s="119"/>
      <c r="F97" s="119"/>
      <c r="G97" s="119"/>
      <c r="H97" s="119">
        <f t="shared" ref="H97:L97" si="55">MAX(0,H96-H90)</f>
        <v>0</v>
      </c>
      <c r="I97" s="119">
        <f t="shared" si="55"/>
        <v>0</v>
      </c>
      <c r="J97" s="119">
        <f t="shared" si="55"/>
        <v>0</v>
      </c>
      <c r="K97" s="119">
        <f t="shared" si="55"/>
        <v>0</v>
      </c>
      <c r="L97" s="119">
        <f t="shared" si="55"/>
        <v>0</v>
      </c>
    </row>
    <row r="98" ht="21.0" customHeight="1">
      <c r="A98" s="81" t="s">
        <v>580</v>
      </c>
      <c r="B98" s="119"/>
      <c r="C98" s="119"/>
      <c r="D98" s="119"/>
      <c r="E98" s="119"/>
      <c r="F98" s="119"/>
      <c r="G98" s="119"/>
      <c r="H98" s="119">
        <f t="shared" ref="H98:L98" si="56">H24-(H93+H94*H12)</f>
        <v>0</v>
      </c>
      <c r="I98" s="119">
        <f t="shared" si="56"/>
        <v>0</v>
      </c>
      <c r="J98" s="119">
        <f t="shared" si="56"/>
        <v>0</v>
      </c>
      <c r="K98" s="119">
        <f t="shared" si="56"/>
        <v>0</v>
      </c>
      <c r="L98" s="119">
        <f t="shared" si="56"/>
        <v>0</v>
      </c>
    </row>
    <row r="99" ht="21.0" customHeight="1">
      <c r="A99" s="83"/>
      <c r="B99" s="83"/>
      <c r="C99" s="83"/>
      <c r="D99" s="83"/>
      <c r="E99" s="83"/>
      <c r="F99" s="83"/>
      <c r="G99" s="83"/>
      <c r="H99" s="83"/>
      <c r="I99" s="83"/>
      <c r="J99" s="83"/>
      <c r="K99" s="83"/>
      <c r="L99" s="83"/>
    </row>
    <row r="100" ht="21.0" customHeight="1">
      <c r="A100" s="83"/>
      <c r="B100" s="83"/>
      <c r="C100" s="83"/>
      <c r="D100" s="83"/>
      <c r="E100" s="83"/>
      <c r="F100" s="83"/>
      <c r="G100" s="83"/>
      <c r="H100" s="83"/>
      <c r="I100" s="83"/>
      <c r="J100" s="83"/>
      <c r="K100" s="83"/>
      <c r="L100" s="83"/>
    </row>
    <row r="101" ht="26.25" customHeight="1">
      <c r="A101" s="81" t="s">
        <v>581</v>
      </c>
    </row>
    <row r="102" ht="26.25" customHeight="1">
      <c r="A102" s="81" t="s">
        <v>582</v>
      </c>
    </row>
    <row r="103" ht="26.25" customHeight="1">
      <c r="A103" s="81" t="s">
        <v>583</v>
      </c>
    </row>
    <row r="104" ht="26.25" customHeight="1">
      <c r="A104" s="81" t="s">
        <v>584</v>
      </c>
    </row>
    <row r="105" ht="26.25" customHeight="1">
      <c r="A105" s="81" t="s">
        <v>585</v>
      </c>
    </row>
    <row r="107">
      <c r="A107" s="61" t="s">
        <v>586</v>
      </c>
      <c r="B107" s="25"/>
      <c r="C107" s="25"/>
      <c r="D107" s="25"/>
      <c r="E107" s="25"/>
      <c r="F107" s="25"/>
      <c r="G107" s="25"/>
      <c r="H107" s="25"/>
      <c r="I107" s="25"/>
      <c r="J107" s="25"/>
      <c r="K107" s="25"/>
      <c r="L107" s="25"/>
    </row>
    <row r="108">
      <c r="A108" s="35" t="s">
        <v>587</v>
      </c>
      <c r="B108" s="4">
        <f>SUM('Sources and basis'!E47:I47)+'Sources and basis'!B56</f>
        <v>8894</v>
      </c>
      <c r="C108" s="4">
        <f t="shared" ref="C108:L108" si="57">B110</f>
        <v>8147</v>
      </c>
      <c r="D108" s="4">
        <f t="shared" si="57"/>
        <v>6843</v>
      </c>
      <c r="E108" s="4">
        <f t="shared" si="57"/>
        <v>5701</v>
      </c>
      <c r="F108" s="4">
        <f t="shared" si="57"/>
        <v>4605</v>
      </c>
      <c r="G108" s="4">
        <f t="shared" si="57"/>
        <v>3550</v>
      </c>
      <c r="H108" s="4">
        <f t="shared" si="57"/>
        <v>2495</v>
      </c>
      <c r="I108" s="4">
        <f t="shared" si="57"/>
        <v>1996</v>
      </c>
      <c r="J108" s="4">
        <f t="shared" si="57"/>
        <v>1497</v>
      </c>
      <c r="K108" s="4">
        <f t="shared" si="57"/>
        <v>998</v>
      </c>
      <c r="L108" s="4">
        <f t="shared" si="57"/>
        <v>499</v>
      </c>
    </row>
    <row r="109">
      <c r="A109" s="35" t="s">
        <v>588</v>
      </c>
      <c r="B109" s="4">
        <f t="shared" ref="B109:L109" si="58">B25</f>
        <v>747</v>
      </c>
      <c r="C109" s="4">
        <f t="shared" si="58"/>
        <v>1304</v>
      </c>
      <c r="D109" s="4">
        <f t="shared" si="58"/>
        <v>1142</v>
      </c>
      <c r="E109" s="4">
        <f t="shared" si="58"/>
        <v>1096</v>
      </c>
      <c r="F109" s="4">
        <f t="shared" si="58"/>
        <v>1055</v>
      </c>
      <c r="G109" s="4">
        <f t="shared" si="58"/>
        <v>1055</v>
      </c>
      <c r="H109" s="4">
        <f t="shared" si="58"/>
        <v>499</v>
      </c>
      <c r="I109" s="4">
        <f t="shared" si="58"/>
        <v>499</v>
      </c>
      <c r="J109" s="4">
        <f t="shared" si="58"/>
        <v>499</v>
      </c>
      <c r="K109" s="4">
        <f t="shared" si="58"/>
        <v>499</v>
      </c>
      <c r="L109" s="4">
        <f t="shared" si="58"/>
        <v>499</v>
      </c>
    </row>
    <row r="110">
      <c r="A110" s="35" t="s">
        <v>589</v>
      </c>
      <c r="B110" s="4">
        <f t="shared" ref="B110:L110" si="59">MAX(0,B108-B109)</f>
        <v>8147</v>
      </c>
      <c r="C110" s="4">
        <f t="shared" si="59"/>
        <v>6843</v>
      </c>
      <c r="D110" s="4">
        <f t="shared" si="59"/>
        <v>5701</v>
      </c>
      <c r="E110" s="4">
        <f t="shared" si="59"/>
        <v>4605</v>
      </c>
      <c r="F110" s="4">
        <f t="shared" si="59"/>
        <v>3550</v>
      </c>
      <c r="G110" s="4">
        <f t="shared" si="59"/>
        <v>2495</v>
      </c>
      <c r="H110" s="4">
        <f t="shared" si="59"/>
        <v>1996</v>
      </c>
      <c r="I110" s="4">
        <f t="shared" si="59"/>
        <v>1497</v>
      </c>
      <c r="J110" s="4">
        <f t="shared" si="59"/>
        <v>998</v>
      </c>
      <c r="K110" s="4">
        <f t="shared" si="59"/>
        <v>499</v>
      </c>
      <c r="L110" s="4">
        <f t="shared" si="59"/>
        <v>0</v>
      </c>
    </row>
    <row r="111">
      <c r="A111" s="35" t="s">
        <v>590</v>
      </c>
      <c r="B111" s="4">
        <f>'Balance sheet'!$I$22-$B$108</f>
        <v>211</v>
      </c>
      <c r="C111" s="4">
        <f>'Balance sheet'!$I$22-$B$108</f>
        <v>211</v>
      </c>
      <c r="D111" s="4">
        <f>'Balance sheet'!$I$22-$B$108</f>
        <v>211</v>
      </c>
      <c r="E111" s="4">
        <f>'Balance sheet'!$I$22-$B$108</f>
        <v>211</v>
      </c>
      <c r="F111" s="4">
        <f>'Balance sheet'!$I$22-$B$108</f>
        <v>211</v>
      </c>
      <c r="G111" s="4">
        <f>'Balance sheet'!$I$22-$B$108</f>
        <v>211</v>
      </c>
      <c r="H111" s="4">
        <f>'Balance sheet'!$I$22-$B$108</f>
        <v>211</v>
      </c>
      <c r="I111" s="4">
        <f>'Balance sheet'!$I$22-$B$108</f>
        <v>211</v>
      </c>
      <c r="J111" s="4">
        <f>'Balance sheet'!$I$22-$B$108</f>
        <v>211</v>
      </c>
      <c r="K111" s="4">
        <f>'Balance sheet'!$I$22-$B$108</f>
        <v>211</v>
      </c>
      <c r="L111" s="4">
        <f>'Balance sheet'!$I$22-$B$108</f>
        <v>211</v>
      </c>
    </row>
    <row r="112">
      <c r="A112" s="35" t="s">
        <v>591</v>
      </c>
      <c r="B112" s="4">
        <f t="shared" ref="B112:L112" si="60">SUM(B110:B111)</f>
        <v>8358</v>
      </c>
      <c r="C112" s="4">
        <f t="shared" si="60"/>
        <v>7054</v>
      </c>
      <c r="D112" s="4">
        <f t="shared" si="60"/>
        <v>5912</v>
      </c>
      <c r="E112" s="4">
        <f t="shared" si="60"/>
        <v>4816</v>
      </c>
      <c r="F112" s="4">
        <f t="shared" si="60"/>
        <v>3761</v>
      </c>
      <c r="G112" s="4">
        <f t="shared" si="60"/>
        <v>2706</v>
      </c>
      <c r="H112" s="4">
        <f t="shared" si="60"/>
        <v>2207</v>
      </c>
      <c r="I112" s="4">
        <f t="shared" si="60"/>
        <v>1708</v>
      </c>
      <c r="J112" s="4">
        <f t="shared" si="60"/>
        <v>1209</v>
      </c>
      <c r="K112" s="4">
        <f t="shared" si="60"/>
        <v>710</v>
      </c>
      <c r="L112" s="4">
        <f t="shared" si="60"/>
        <v>211</v>
      </c>
    </row>
    <row r="113">
      <c r="A113" s="3"/>
      <c r="B113" s="4"/>
      <c r="C113" s="4"/>
      <c r="D113" s="4"/>
      <c r="E113" s="4"/>
      <c r="F113" s="4"/>
      <c r="G113" s="4"/>
      <c r="H113" s="4"/>
      <c r="I113" s="4"/>
      <c r="J113" s="4"/>
      <c r="K113" s="4"/>
      <c r="L113" s="4"/>
    </row>
    <row r="114">
      <c r="A114" s="35" t="s">
        <v>592</v>
      </c>
      <c r="B114" s="4">
        <f>'Balance sheet'!$I$21</f>
        <v>57828</v>
      </c>
      <c r="C114" s="4">
        <f>'Balance sheet'!$I$21</f>
        <v>57828</v>
      </c>
      <c r="D114" s="4">
        <f>'Balance sheet'!$I$21</f>
        <v>57828</v>
      </c>
      <c r="E114" s="4">
        <f>'Balance sheet'!$I$21</f>
        <v>57828</v>
      </c>
      <c r="F114" s="4">
        <f>'Balance sheet'!$I$21</f>
        <v>57828</v>
      </c>
      <c r="G114" s="4">
        <f>'Balance sheet'!$I$21</f>
        <v>57828</v>
      </c>
      <c r="H114" s="4">
        <f>'Balance sheet'!$I$21</f>
        <v>57828</v>
      </c>
      <c r="I114" s="4">
        <f>'Balance sheet'!$I$21</f>
        <v>57828</v>
      </c>
      <c r="J114" s="4">
        <f>'Balance sheet'!$I$21</f>
        <v>57828</v>
      </c>
      <c r="K114" s="4">
        <f>'Balance sheet'!$I$21</f>
        <v>57828</v>
      </c>
      <c r="L114" s="4">
        <f>'Balance sheet'!$I$21</f>
        <v>57828</v>
      </c>
    </row>
    <row r="115">
      <c r="A115" s="3"/>
      <c r="B115" s="4"/>
      <c r="C115" s="4"/>
      <c r="D115" s="4"/>
      <c r="E115" s="4"/>
      <c r="F115" s="4"/>
      <c r="G115" s="4"/>
      <c r="H115" s="4"/>
      <c r="I115" s="4"/>
      <c r="J115" s="4"/>
      <c r="K115" s="4"/>
      <c r="L115" s="4"/>
    </row>
    <row r="116">
      <c r="A116" s="35" t="s">
        <v>593</v>
      </c>
      <c r="B116" s="4">
        <f>SUM(G25:L25)-'Sources and basis'!B56</f>
        <v>0</v>
      </c>
      <c r="C116" s="4"/>
      <c r="D116" s="4"/>
      <c r="E116" s="4"/>
      <c r="F116" s="4"/>
      <c r="G116" s="4"/>
      <c r="H116" s="4"/>
      <c r="I116" s="4"/>
      <c r="J116" s="4"/>
      <c r="K116" s="4"/>
      <c r="L116" s="4"/>
    </row>
    <row r="117">
      <c r="A117" s="35" t="s">
        <v>594</v>
      </c>
      <c r="B117" s="4">
        <f>B108+B111-'Balance sheet'!I22</f>
        <v>0</v>
      </c>
      <c r="C117" s="4"/>
      <c r="D117" s="4"/>
      <c r="E117" s="4"/>
      <c r="F117" s="4"/>
      <c r="G117" s="4"/>
      <c r="H117" s="4"/>
      <c r="I117" s="4"/>
      <c r="J117" s="4"/>
      <c r="K117" s="4"/>
      <c r="L117" s="4"/>
    </row>
    <row r="119" ht="31.5" customHeight="1">
      <c r="A119" s="147" t="s">
        <v>595</v>
      </c>
    </row>
    <row r="120" ht="31.5" customHeight="1">
      <c r="A120" s="147" t="s">
        <v>596</v>
      </c>
    </row>
  </sheetData>
  <mergeCells count="9">
    <mergeCell ref="A119:L119"/>
    <mergeCell ref="A120:L120"/>
    <mergeCell ref="A1:G1"/>
    <mergeCell ref="A2:G2"/>
    <mergeCell ref="A101:L101"/>
    <mergeCell ref="A102:L102"/>
    <mergeCell ref="A103:L103"/>
    <mergeCell ref="A104:L104"/>
    <mergeCell ref="A105:L10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63"/>
    <col customWidth="1" min="2" max="8" width="15.75"/>
  </cols>
  <sheetData>
    <row r="1" ht="25.5" customHeight="1">
      <c r="A1" s="126" t="s">
        <v>597</v>
      </c>
    </row>
    <row r="2" ht="34.5" customHeight="1">
      <c r="A2" s="10" t="s">
        <v>598</v>
      </c>
    </row>
    <row r="3" ht="20.25" customHeight="1">
      <c r="A3" s="3" t="s">
        <v>263</v>
      </c>
      <c r="B3" s="3" t="str">
        <f>Assumptions!B3</f>
        <v>Base</v>
      </c>
      <c r="C3" s="3"/>
      <c r="D3" s="3"/>
      <c r="E3" s="3"/>
      <c r="F3" s="3"/>
      <c r="G3" s="3"/>
      <c r="H3" s="3"/>
    </row>
    <row r="4" ht="20.25" customHeight="1">
      <c r="A4" s="3"/>
      <c r="B4" s="3"/>
      <c r="C4" s="3"/>
      <c r="D4" s="3"/>
      <c r="E4" s="3"/>
      <c r="F4" s="3"/>
      <c r="G4" s="3"/>
      <c r="H4" s="3"/>
    </row>
    <row r="5" ht="20.25" customHeight="1">
      <c r="A5" s="3"/>
      <c r="B5" s="3"/>
      <c r="C5" s="3"/>
      <c r="D5" s="3"/>
      <c r="E5" s="3"/>
      <c r="F5" s="3"/>
      <c r="G5" s="3"/>
      <c r="H5" s="3"/>
    </row>
    <row r="6" ht="27.0" customHeight="1">
      <c r="A6" s="6" t="s">
        <v>599</v>
      </c>
      <c r="B6" s="6" t="s">
        <v>600</v>
      </c>
      <c r="C6" s="6" t="s">
        <v>601</v>
      </c>
      <c r="D6" s="6" t="s">
        <v>602</v>
      </c>
      <c r="E6" s="6" t="s">
        <v>603</v>
      </c>
      <c r="F6" s="6" t="s">
        <v>604</v>
      </c>
      <c r="G6" s="6" t="s">
        <v>605</v>
      </c>
      <c r="H6" s="6" t="s">
        <v>606</v>
      </c>
    </row>
    <row r="7" ht="20.25" customHeight="1">
      <c r="A7" s="3" t="s">
        <v>607</v>
      </c>
      <c r="B7" s="133">
        <f>0</f>
        <v>0</v>
      </c>
      <c r="C7" s="133">
        <f>MIN(1,(2-1)/Assumptions!$B$147)</f>
        <v>0.2</v>
      </c>
      <c r="D7" s="133">
        <f>MIN(1,(3-1)/Assumptions!$B$147)</f>
        <v>0.4</v>
      </c>
      <c r="E7" s="133">
        <f>MIN(1,(4-1)/Assumptions!$B$147)</f>
        <v>0.6</v>
      </c>
      <c r="F7" s="133">
        <f>MIN(1,(5-1)/Assumptions!$B$147)</f>
        <v>0.8</v>
      </c>
      <c r="G7" s="133">
        <f>MIN(1,(6-1)/Assumptions!$B$147)</f>
        <v>1</v>
      </c>
      <c r="H7" s="133">
        <f>1</f>
        <v>1</v>
      </c>
    </row>
    <row r="8" ht="20.25" customHeight="1">
      <c r="A8" s="3" t="s">
        <v>608</v>
      </c>
      <c r="B8" s="133">
        <f>'Operating forecast'!K16/'Operating forecast'!J16-1</f>
        <v>0.08968970499</v>
      </c>
      <c r="C8" s="133">
        <f t="shared" ref="C8:H8" si="1">$B$8+($B$24-$B$8)*C7</f>
        <v>0.07775176399</v>
      </c>
      <c r="D8" s="133">
        <f t="shared" si="1"/>
        <v>0.06581382299</v>
      </c>
      <c r="E8" s="133">
        <f t="shared" si="1"/>
        <v>0.053875882</v>
      </c>
      <c r="F8" s="133">
        <f t="shared" si="1"/>
        <v>0.041937941</v>
      </c>
      <c r="G8" s="133">
        <f t="shared" si="1"/>
        <v>0.03</v>
      </c>
      <c r="H8" s="133">
        <f t="shared" si="1"/>
        <v>0.03</v>
      </c>
    </row>
    <row r="9" ht="20.25" customHeight="1">
      <c r="A9" s="3" t="s">
        <v>609</v>
      </c>
      <c r="B9" s="130">
        <f>'Operating forecast'!K16</f>
        <v>950091.0513</v>
      </c>
      <c r="C9" s="130">
        <f t="shared" ref="C9:H9" si="2">B9*(1+C8)</f>
        <v>1023962.307</v>
      </c>
      <c r="D9" s="130">
        <f t="shared" si="2"/>
        <v>1091353.181</v>
      </c>
      <c r="E9" s="130">
        <f t="shared" si="2"/>
        <v>1150150.796</v>
      </c>
      <c r="F9" s="130">
        <f t="shared" si="2"/>
        <v>1198385.752</v>
      </c>
      <c r="G9" s="130">
        <f t="shared" si="2"/>
        <v>1234337.324</v>
      </c>
      <c r="H9" s="130">
        <f t="shared" si="2"/>
        <v>1271367.444</v>
      </c>
    </row>
    <row r="10" ht="20.25" customHeight="1">
      <c r="A10" s="3" t="s">
        <v>610</v>
      </c>
      <c r="B10" s="133">
        <f>'Operating forecast'!K34</f>
        <v>0.2843927873</v>
      </c>
      <c r="C10" s="133">
        <f t="shared" ref="C10:H10" si="3">$B$55+($B$27-$B$55)*C7-C56/C9</f>
        <v>0.2850431617</v>
      </c>
      <c r="D10" s="133">
        <f t="shared" si="3"/>
        <v>0.2850732538</v>
      </c>
      <c r="E10" s="133">
        <f t="shared" si="3"/>
        <v>0.2850966282</v>
      </c>
      <c r="F10" s="133">
        <f t="shared" si="3"/>
        <v>0.2851140909</v>
      </c>
      <c r="G10" s="133">
        <f t="shared" si="3"/>
        <v>0.2851262189</v>
      </c>
      <c r="H10" s="133">
        <f t="shared" si="3"/>
        <v>0.2855304844</v>
      </c>
    </row>
    <row r="11" ht="20.25" customHeight="1">
      <c r="A11" s="3" t="s">
        <v>611</v>
      </c>
      <c r="B11" s="130">
        <f>'Operating forecast'!K33</f>
        <v>270199.0423</v>
      </c>
      <c r="C11" s="130">
        <f t="shared" ref="C11:H11" si="4">C9*C10</f>
        <v>291873.4533</v>
      </c>
      <c r="D11" s="130">
        <f t="shared" si="4"/>
        <v>311115.6022</v>
      </c>
      <c r="E11" s="130">
        <f t="shared" si="4"/>
        <v>327904.1138</v>
      </c>
      <c r="F11" s="130">
        <f t="shared" si="4"/>
        <v>341676.6642</v>
      </c>
      <c r="G11" s="130">
        <f t="shared" si="4"/>
        <v>351941.9341</v>
      </c>
      <c r="H11" s="130">
        <f t="shared" si="4"/>
        <v>363014.1621</v>
      </c>
    </row>
    <row r="12" ht="20.25" customHeight="1">
      <c r="A12" s="3" t="s">
        <v>612</v>
      </c>
      <c r="B12" s="133">
        <f>Assumptions!G77</f>
        <v>0.18</v>
      </c>
      <c r="C12" s="133">
        <f>$B$12+(Assumptions!$B$149-$B$12)*C7</f>
        <v>0.186</v>
      </c>
      <c r="D12" s="133">
        <f>$B$12+(Assumptions!$B$149-$B$12)*D7</f>
        <v>0.192</v>
      </c>
      <c r="E12" s="133">
        <f>$B$12+(Assumptions!$B$149-$B$12)*E7</f>
        <v>0.198</v>
      </c>
      <c r="F12" s="133">
        <f>$B$12+(Assumptions!$B$149-$B$12)*F7</f>
        <v>0.204</v>
      </c>
      <c r="G12" s="133">
        <f>$B$12+(Assumptions!$B$149-$B$12)*G7</f>
        <v>0.21</v>
      </c>
      <c r="H12" s="133">
        <f>$B$12+(Assumptions!$B$149-$B$12)*H7</f>
        <v>0.21</v>
      </c>
    </row>
    <row r="13" ht="20.25" customHeight="1">
      <c r="A13" s="22" t="s">
        <v>368</v>
      </c>
      <c r="B13" s="131">
        <f>'Operating forecast'!K36</f>
        <v>221373.3146</v>
      </c>
      <c r="C13" s="131">
        <f t="shared" ref="C13:H13" si="5">C57-C56+C58</f>
        <v>237492.177</v>
      </c>
      <c r="D13" s="131">
        <f t="shared" si="5"/>
        <v>251285.5986</v>
      </c>
      <c r="E13" s="131">
        <f t="shared" si="5"/>
        <v>262880.2973</v>
      </c>
      <c r="F13" s="131">
        <f t="shared" si="5"/>
        <v>271872.8287</v>
      </c>
      <c r="G13" s="131">
        <f t="shared" si="5"/>
        <v>277929.338</v>
      </c>
      <c r="H13" s="131">
        <f t="shared" si="5"/>
        <v>286781.1881</v>
      </c>
    </row>
    <row r="14" ht="20.25" customHeight="1">
      <c r="A14" s="35" t="s">
        <v>613</v>
      </c>
      <c r="B14" s="133">
        <f>B15/B57</f>
        <v>0.3475163324</v>
      </c>
      <c r="C14" s="133">
        <f t="shared" ref="C14:G14" si="6">IF(ISNUMBER(C15),C15/C57,"")</f>
        <v>0.313630766</v>
      </c>
      <c r="D14" s="133">
        <f t="shared" si="6"/>
        <v>0.2731369909</v>
      </c>
      <c r="E14" s="133">
        <f t="shared" si="6"/>
        <v>0.2240377005</v>
      </c>
      <c r="F14" s="133">
        <f t="shared" si="6"/>
        <v>0.163262448</v>
      </c>
      <c r="G14" s="133">
        <f t="shared" si="6"/>
        <v>0.25</v>
      </c>
      <c r="H14" s="133">
        <f>$B$26</f>
        <v>0.25</v>
      </c>
    </row>
    <row r="15" ht="20.25" customHeight="1">
      <c r="A15" s="35" t="s">
        <v>578</v>
      </c>
      <c r="B15" s="130">
        <f>'Capital and FCFF'!G96</f>
        <v>77297.47213</v>
      </c>
      <c r="C15" s="130">
        <f>'Capital and FCFF'!H96</f>
        <v>74641.35516</v>
      </c>
      <c r="D15" s="130">
        <f>'Capital and FCFF'!I96</f>
        <v>68771.68762</v>
      </c>
      <c r="E15" s="130">
        <f>'Capital and FCFF'!J96</f>
        <v>59006.89212</v>
      </c>
      <c r="F15" s="130">
        <f>'Capital and FCFF'!K96</f>
        <v>44468.09151</v>
      </c>
      <c r="G15" s="130">
        <f>'Capital and FCFF'!L96</f>
        <v>69607.08449</v>
      </c>
      <c r="H15" s="130">
        <f>H13*H14</f>
        <v>71695.29702</v>
      </c>
    </row>
    <row r="16" ht="20.25" customHeight="1">
      <c r="A16" s="22" t="s">
        <v>614</v>
      </c>
      <c r="B16" s="131">
        <f t="shared" ref="B16:H16" si="7">B13+B56-B15</f>
        <v>145130.8425</v>
      </c>
      <c r="C16" s="131">
        <f t="shared" si="7"/>
        <v>163349.8219</v>
      </c>
      <c r="D16" s="131">
        <f t="shared" si="7"/>
        <v>183012.911</v>
      </c>
      <c r="E16" s="131">
        <f t="shared" si="7"/>
        <v>204372.4051</v>
      </c>
      <c r="F16" s="131">
        <f t="shared" si="7"/>
        <v>227903.7372</v>
      </c>
      <c r="G16" s="131">
        <f t="shared" si="7"/>
        <v>208821.2535</v>
      </c>
      <c r="H16" s="131">
        <f t="shared" si="7"/>
        <v>215085.8911</v>
      </c>
    </row>
    <row r="17" ht="20.25" customHeight="1">
      <c r="A17" s="3"/>
      <c r="B17" s="130"/>
      <c r="C17" s="130"/>
      <c r="D17" s="130"/>
      <c r="E17" s="130"/>
      <c r="F17" s="130"/>
      <c r="G17" s="130"/>
      <c r="H17" s="130"/>
    </row>
    <row r="18" ht="20.25" customHeight="1">
      <c r="A18" s="3" t="s">
        <v>55</v>
      </c>
      <c r="B18" s="148">
        <f>DATE(2031,12,31)</f>
        <v>48213</v>
      </c>
      <c r="C18" s="148">
        <f>DATE(2032,12,31)</f>
        <v>48579</v>
      </c>
      <c r="D18" s="148">
        <f>DATE(2033,12,31)</f>
        <v>48944</v>
      </c>
      <c r="E18" s="148">
        <f>DATE(2034,12,31)</f>
        <v>49309</v>
      </c>
      <c r="F18" s="148">
        <f>DATE(2035,12,31)</f>
        <v>49674</v>
      </c>
      <c r="G18" s="148">
        <f>DATE(2036,12,31)</f>
        <v>50040</v>
      </c>
      <c r="H18" s="148">
        <f>DATE(2037,12,31)</f>
        <v>50405</v>
      </c>
    </row>
    <row r="19" ht="20.25" customHeight="1">
      <c r="A19" s="3" t="s">
        <v>56</v>
      </c>
      <c r="B19" s="149">
        <f>YEARFRAC(Valuation!$B$4,B18,3)-IF(Valuation!$B$24=1,0.5,0)</f>
        <v>4.68630137</v>
      </c>
      <c r="C19" s="149">
        <f>YEARFRAC(Valuation!$B$4,C18,3)-IF(Valuation!$B$24=1,0.5,0)</f>
        <v>5.689041096</v>
      </c>
      <c r="D19" s="149">
        <f>YEARFRAC(Valuation!$B$4,D18,3)-IF(Valuation!$B$24=1,0.5,0)</f>
        <v>6.689041096</v>
      </c>
      <c r="E19" s="149">
        <f>YEARFRAC(Valuation!$B$4,E18,3)-IF(Valuation!$B$24=1,0.5,0)</f>
        <v>7.689041096</v>
      </c>
      <c r="F19" s="149">
        <f>YEARFRAC(Valuation!$B$4,F18,3)-IF(Valuation!$B$24=1,0.5,0)</f>
        <v>8.689041096</v>
      </c>
      <c r="G19" s="149">
        <f>YEARFRAC(Valuation!$B$4,G18,3)-IF(Valuation!$B$24=1,0.5,0)</f>
        <v>9.691780822</v>
      </c>
      <c r="H19" s="149">
        <f>YEARFRAC(Valuation!$B$4,H18,3)-IF(Valuation!$B$24=1,0.5,0)</f>
        <v>10.69178082</v>
      </c>
    </row>
    <row r="20" ht="20.25" customHeight="1">
      <c r="A20" s="22" t="s">
        <v>615</v>
      </c>
      <c r="B20" s="131"/>
      <c r="C20" s="131">
        <f>IF(AND(ISNUMBER(Valuation!$B$29),Valuation!$B$29&gt;0),C16/(1+Valuation!$B$29)^C19,"")</f>
        <v>98068.62978</v>
      </c>
      <c r="D20" s="131">
        <f>IF(AND(ISNUMBER(Valuation!$B$29),Valuation!$B$29&gt;0),D16/(1+Valuation!$B$29)^D19,"")</f>
        <v>100448.4176</v>
      </c>
      <c r="E20" s="131">
        <f>IF(AND(ISNUMBER(Valuation!$B$29),Valuation!$B$29&gt;0),E16/(1+Valuation!$B$29)^E19,"")</f>
        <v>102549.5018</v>
      </c>
      <c r="F20" s="131">
        <f>IF(AND(ISNUMBER(Valuation!$B$29),Valuation!$B$29&gt;0),F16/(1+Valuation!$B$29)^F19,"")</f>
        <v>104547.2646</v>
      </c>
      <c r="G20" s="131">
        <f>IF(AND(ISNUMBER(Valuation!$B$29),Valuation!$B$29&gt;0),G16/(1+Valuation!$B$29)^G19,"")</f>
        <v>87554.63495</v>
      </c>
      <c r="H20" s="131"/>
    </row>
    <row r="21" ht="20.25" customHeight="1">
      <c r="A21" s="3"/>
      <c r="B21" s="130"/>
      <c r="C21" s="130"/>
      <c r="D21" s="130"/>
      <c r="E21" s="130"/>
      <c r="F21" s="130"/>
      <c r="G21" s="130"/>
      <c r="H21" s="130"/>
    </row>
    <row r="22" ht="20.25" customHeight="1">
      <c r="A22" s="3"/>
      <c r="B22" s="130"/>
      <c r="C22" s="130"/>
      <c r="D22" s="130"/>
      <c r="E22" s="130"/>
      <c r="F22" s="130"/>
      <c r="G22" s="130"/>
      <c r="H22" s="130"/>
    </row>
    <row r="23" ht="20.25" customHeight="1">
      <c r="A23" s="128" t="s">
        <v>616</v>
      </c>
      <c r="B23" s="129"/>
      <c r="C23" s="129"/>
      <c r="D23" s="129"/>
      <c r="E23" s="129"/>
      <c r="F23" s="129"/>
      <c r="G23" s="129"/>
      <c r="H23" s="129"/>
    </row>
    <row r="24" ht="20.25" customHeight="1">
      <c r="A24" s="3" t="s">
        <v>617</v>
      </c>
      <c r="B24" s="133">
        <f>Valuation!B21</f>
        <v>0.03</v>
      </c>
      <c r="C24" s="133"/>
      <c r="D24" s="133"/>
      <c r="E24" s="133"/>
      <c r="F24" s="133"/>
      <c r="G24" s="133"/>
      <c r="H24" s="133"/>
    </row>
    <row r="25" ht="20.25" customHeight="1">
      <c r="A25" s="3" t="s">
        <v>618</v>
      </c>
      <c r="B25" s="133">
        <f>MIN(B36,Assumptions!B192)</f>
        <v>0.12</v>
      </c>
      <c r="C25" s="133"/>
      <c r="D25" s="133"/>
      <c r="E25" s="133"/>
      <c r="F25" s="133"/>
      <c r="G25" s="133"/>
      <c r="H25" s="133"/>
    </row>
    <row r="26" ht="20.25" customHeight="1">
      <c r="A26" s="3" t="s">
        <v>619</v>
      </c>
      <c r="B26" s="133">
        <f>B24/B25</f>
        <v>0.25</v>
      </c>
      <c r="C26" s="133"/>
      <c r="D26" s="133"/>
      <c r="E26" s="133"/>
      <c r="F26" s="133"/>
      <c r="G26" s="133"/>
      <c r="H26" s="133"/>
    </row>
    <row r="27" ht="20.25" customHeight="1">
      <c r="A27" s="3" t="s">
        <v>620</v>
      </c>
      <c r="B27" s="133">
        <f>IF(ISNUMBER(Assumptions!B148),Assumptions!B148,B55)</f>
        <v>0.2855304844</v>
      </c>
      <c r="C27" s="133"/>
      <c r="D27" s="133"/>
      <c r="E27" s="133"/>
      <c r="F27" s="133"/>
      <c r="G27" s="133"/>
      <c r="H27" s="133"/>
    </row>
    <row r="28" ht="20.25" customHeight="1">
      <c r="A28" s="3" t="s">
        <v>621</v>
      </c>
      <c r="B28" s="150" t="str">
        <f>IF(AND(ISNUMBER(Valuation!B29),B24&lt;Valuation!B29,B24&lt;B25),"Ready","Review WACC / terminal inputs")</f>
        <v>Ready</v>
      </c>
    </row>
    <row r="29" ht="20.25" customHeight="1">
      <c r="A29" s="3"/>
      <c r="B29" s="130"/>
      <c r="C29" s="130"/>
      <c r="D29" s="130"/>
      <c r="E29" s="130"/>
      <c r="F29" s="130"/>
      <c r="G29" s="130"/>
      <c r="H29" s="130"/>
    </row>
    <row r="30" ht="20.25" customHeight="1">
      <c r="A30" s="3"/>
      <c r="B30" s="130"/>
      <c r="C30" s="130"/>
      <c r="D30" s="130"/>
      <c r="E30" s="130"/>
      <c r="F30" s="130"/>
      <c r="G30" s="130"/>
      <c r="H30" s="130"/>
    </row>
    <row r="31" ht="31.5" customHeight="1">
      <c r="A31" s="2" t="s">
        <v>622</v>
      </c>
    </row>
    <row r="32" ht="31.5" customHeight="1">
      <c r="A32" s="2" t="s">
        <v>623</v>
      </c>
    </row>
    <row r="33" ht="31.5" customHeight="1">
      <c r="A33" s="2" t="s">
        <v>624</v>
      </c>
    </row>
    <row r="35">
      <c r="A35" s="151" t="s">
        <v>625</v>
      </c>
      <c r="B35" s="151"/>
      <c r="C35" s="151"/>
      <c r="D35" s="151"/>
      <c r="E35" s="151"/>
      <c r="F35" s="151"/>
      <c r="G35" s="151"/>
      <c r="H35" s="151"/>
    </row>
    <row r="36" ht="33.75" customHeight="1">
      <c r="A36" s="54" t="s">
        <v>626</v>
      </c>
      <c r="B36" s="152">
        <f>(C57-B59)/B60</f>
        <v>0.2009949618</v>
      </c>
      <c r="C36" s="152">
        <f t="shared" ref="C36:G36" si="8">$B$36+($B$25-$B$36)*C7</f>
        <v>0.1847959694</v>
      </c>
      <c r="D36" s="152">
        <f t="shared" si="8"/>
        <v>0.1685969771</v>
      </c>
      <c r="E36" s="152">
        <f t="shared" si="8"/>
        <v>0.1523979847</v>
      </c>
      <c r="F36" s="152">
        <f t="shared" si="8"/>
        <v>0.1361989924</v>
      </c>
      <c r="G36" s="152">
        <f t="shared" si="8"/>
        <v>0.12</v>
      </c>
      <c r="H36" s="152">
        <f>$B$25</f>
        <v>0.12</v>
      </c>
    </row>
    <row r="37">
      <c r="A37" s="54" t="s">
        <v>627</v>
      </c>
      <c r="B37" s="50">
        <f>C57-B59</f>
        <v>15541.61141</v>
      </c>
      <c r="C37" s="50">
        <f t="shared" ref="C37:G37" si="9">D57-C57</f>
        <v>13793.42159</v>
      </c>
      <c r="D37" s="50">
        <f t="shared" si="9"/>
        <v>11594.69864</v>
      </c>
      <c r="E37" s="50">
        <f t="shared" si="9"/>
        <v>8992.531443</v>
      </c>
      <c r="F37" s="50">
        <f t="shared" si="9"/>
        <v>6056.509256</v>
      </c>
      <c r="G37" s="50">
        <f t="shared" si="9"/>
        <v>8352.850139</v>
      </c>
      <c r="H37" s="50">
        <f>H57*$B$24</f>
        <v>8603.435643</v>
      </c>
    </row>
    <row r="38" ht="21.0" customHeight="1">
      <c r="A38" s="81" t="s">
        <v>628</v>
      </c>
      <c r="B38" s="119"/>
      <c r="C38" s="119">
        <f t="shared" ref="C38:G38" si="10">IF(C36&gt;0,C37/C36,NA())</f>
        <v>74641.35516</v>
      </c>
      <c r="D38" s="119">
        <f t="shared" si="10"/>
        <v>68771.68762</v>
      </c>
      <c r="E38" s="119">
        <f t="shared" si="10"/>
        <v>59006.89212</v>
      </c>
      <c r="F38" s="119">
        <f t="shared" si="10"/>
        <v>44468.09151</v>
      </c>
      <c r="G38" s="119">
        <f t="shared" si="10"/>
        <v>69607.08449</v>
      </c>
      <c r="H38" s="119"/>
    </row>
    <row r="39" ht="21.0" customHeight="1">
      <c r="A39" s="81" t="s">
        <v>629</v>
      </c>
      <c r="B39" s="87"/>
      <c r="C39" s="87">
        <f t="shared" ref="C39:G39" si="11">IF(C15&gt;0,C37/C15,NA())</f>
        <v>0.1847959694</v>
      </c>
      <c r="D39" s="87">
        <f t="shared" si="11"/>
        <v>0.1685969771</v>
      </c>
      <c r="E39" s="87">
        <f t="shared" si="11"/>
        <v>0.1523979847</v>
      </c>
      <c r="F39" s="87">
        <f t="shared" si="11"/>
        <v>0.1361989924</v>
      </c>
      <c r="G39" s="87">
        <f t="shared" si="11"/>
        <v>0.12</v>
      </c>
      <c r="H39" s="87"/>
    </row>
    <row r="40" ht="21.0" customHeight="1">
      <c r="A40" s="81" t="s">
        <v>630</v>
      </c>
      <c r="B40" s="119"/>
      <c r="C40" s="119">
        <f>'Capital and FCFF'!H97</f>
        <v>0</v>
      </c>
      <c r="D40" s="119">
        <f>'Capital and FCFF'!I97</f>
        <v>0</v>
      </c>
      <c r="E40" s="119">
        <f>'Capital and FCFF'!J97</f>
        <v>0</v>
      </c>
      <c r="F40" s="119">
        <f>'Capital and FCFF'!K97</f>
        <v>0</v>
      </c>
      <c r="G40" s="119">
        <f>'Capital and FCFF'!L97</f>
        <v>0</v>
      </c>
      <c r="H40" s="119"/>
    </row>
    <row r="41" ht="21.0" customHeight="1">
      <c r="A41" s="83"/>
      <c r="B41" s="119"/>
      <c r="C41" s="119"/>
      <c r="D41" s="119"/>
      <c r="E41" s="119"/>
      <c r="F41" s="119"/>
      <c r="G41" s="119"/>
      <c r="H41" s="119"/>
    </row>
    <row r="42" ht="21.0" customHeight="1">
      <c r="A42" s="81" t="s">
        <v>631</v>
      </c>
      <c r="B42" s="87">
        <f>H16/G16-1</f>
        <v>0.03</v>
      </c>
      <c r="C42" s="153" t="s">
        <v>632</v>
      </c>
      <c r="D42" s="87"/>
      <c r="E42" s="87"/>
      <c r="F42" s="87"/>
      <c r="G42" s="87"/>
      <c r="H42" s="87"/>
    </row>
    <row r="43" ht="21.0" customHeight="1">
      <c r="A43" s="81" t="s">
        <v>633</v>
      </c>
      <c r="B43" s="87">
        <f>H15/G15</f>
        <v>1.03</v>
      </c>
      <c r="C43" s="153" t="s">
        <v>634</v>
      </c>
      <c r="D43" s="87"/>
      <c r="E43" s="87"/>
      <c r="F43" s="87"/>
      <c r="G43" s="87"/>
      <c r="H43" s="87"/>
    </row>
    <row r="44" ht="21.0" customHeight="1">
      <c r="A44" s="81" t="s">
        <v>635</v>
      </c>
      <c r="B44" s="83" t="str">
        <f>IF(ABS(B42)&lt;=0.25,"Within 25% review threshold","Review terminal transition")</f>
        <v>Within 25% review threshold</v>
      </c>
      <c r="C44" s="81" t="s">
        <v>636</v>
      </c>
      <c r="D44" s="83"/>
      <c r="E44" s="83"/>
      <c r="F44" s="83"/>
      <c r="G44" s="83"/>
      <c r="H44" s="83"/>
    </row>
    <row r="46">
      <c r="A46" s="154" t="s">
        <v>637</v>
      </c>
    </row>
    <row r="47">
      <c r="A47" s="89" t="s">
        <v>638</v>
      </c>
      <c r="B47" s="155">
        <f>'Capital and FCFF'!G15</f>
        <v>244953.2736</v>
      </c>
    </row>
    <row r="48">
      <c r="A48" s="89" t="s">
        <v>639</v>
      </c>
      <c r="B48" s="155">
        <f>'Capital and FCFF'!G12*(1/Assumptions!B170-0.5)</f>
        <v>245138.3866</v>
      </c>
    </row>
    <row r="49">
      <c r="A49" s="89" t="s">
        <v>640</v>
      </c>
      <c r="B49" s="155">
        <f>B47-B48</f>
        <v>-185.1130024</v>
      </c>
    </row>
    <row r="50">
      <c r="A50" s="89" t="s">
        <v>641</v>
      </c>
      <c r="B50" s="156">
        <f>Assumptions!G72/Assumptions!G67+(1-Assumptions!G72)/Assumptions!B92</f>
        <v>0.14</v>
      </c>
    </row>
    <row r="51">
      <c r="A51" s="89" t="s">
        <v>642</v>
      </c>
      <c r="B51" s="155">
        <f>B49*B50</f>
        <v>-25.91582034</v>
      </c>
    </row>
    <row r="52">
      <c r="A52" s="89" t="s">
        <v>643</v>
      </c>
      <c r="B52" s="152">
        <f>B10-B51/B9</f>
        <v>0.2844200645</v>
      </c>
    </row>
    <row r="53">
      <c r="A53" s="89" t="s">
        <v>644</v>
      </c>
      <c r="B53" s="157">
        <f>B9*B52-MAX(0,B9*B52+B56*(1-Assumptions!B239))*B12</f>
        <v>221394.5656</v>
      </c>
    </row>
    <row r="54">
      <c r="A54" s="89" t="s">
        <v>645</v>
      </c>
    </row>
    <row r="55">
      <c r="A55" s="89" t="s">
        <v>646</v>
      </c>
      <c r="B55" s="152">
        <f>B52+'Capital and FCFF'!G25/B9</f>
        <v>0.2855304844</v>
      </c>
    </row>
    <row r="56">
      <c r="A56" s="89" t="s">
        <v>647</v>
      </c>
      <c r="B56" s="157">
        <f>'Capital and FCFF'!G25</f>
        <v>1055</v>
      </c>
      <c r="C56" s="157">
        <f>'Capital and FCFF'!H25</f>
        <v>499</v>
      </c>
      <c r="D56" s="157">
        <f>'Capital and FCFF'!I25</f>
        <v>499</v>
      </c>
      <c r="E56" s="157">
        <f>'Capital and FCFF'!J25</f>
        <v>499</v>
      </c>
      <c r="F56" s="157">
        <f>'Capital and FCFF'!K25</f>
        <v>499</v>
      </c>
      <c r="G56" s="157">
        <f>'Capital and FCFF'!L25</f>
        <v>499</v>
      </c>
      <c r="H56" s="157">
        <f>0</f>
        <v>0</v>
      </c>
    </row>
    <row r="57">
      <c r="A57" s="89" t="s">
        <v>648</v>
      </c>
      <c r="B57" s="157">
        <f t="shared" ref="B57:H57" si="12">(B11+B56)-MAX(0,B11+B56)*B12</f>
        <v>222428.3146</v>
      </c>
      <c r="C57" s="157">
        <f t="shared" si="12"/>
        <v>237991.177</v>
      </c>
      <c r="D57" s="157">
        <f t="shared" si="12"/>
        <v>251784.5986</v>
      </c>
      <c r="E57" s="157">
        <f t="shared" si="12"/>
        <v>263379.2973</v>
      </c>
      <c r="F57" s="157">
        <f t="shared" si="12"/>
        <v>272371.8287</v>
      </c>
      <c r="G57" s="157">
        <f t="shared" si="12"/>
        <v>278428.338</v>
      </c>
      <c r="H57" s="157">
        <f t="shared" si="12"/>
        <v>286781.1881</v>
      </c>
    </row>
    <row r="58">
      <c r="A58" s="89" t="s">
        <v>649</v>
      </c>
      <c r="B58" s="157">
        <f>MAX(0,B11+B56)*B12-MAX(0,B11+B56*(1-Assumptions!$B$239))*B12</f>
        <v>0</v>
      </c>
      <c r="C58" s="157">
        <f>MAX(0,C11+C56)*C12-MAX(0,C11+C56*(1-Assumptions!$B$239))*C12</f>
        <v>0</v>
      </c>
      <c r="D58" s="157">
        <f>MAX(0,D11+D56)*D12-MAX(0,D11+D56*(1-Assumptions!$B$239))*D12</f>
        <v>0</v>
      </c>
      <c r="E58" s="157">
        <f>MAX(0,E11+E56)*E12-MAX(0,E11+E56*(1-Assumptions!$B$239))*E12</f>
        <v>0</v>
      </c>
      <c r="F58" s="157">
        <f>MAX(0,F11+F56)*F12-MAX(0,F11+F56*(1-Assumptions!$B$239))*F12</f>
        <v>0</v>
      </c>
      <c r="G58" s="157">
        <f>MAX(0,G11+G56)*G12-MAX(0,G11+G56*(1-Assumptions!$B$239))*G12</f>
        <v>0</v>
      </c>
      <c r="H58" s="157">
        <f>MAX(0,H11+H56)*H12-MAX(0,H11+H56*(1-Assumptions!$B$239))*H12</f>
        <v>0</v>
      </c>
    </row>
    <row r="59">
      <c r="A59" s="89" t="s">
        <v>650</v>
      </c>
      <c r="B59" s="157">
        <f>B9*B55-MAX(0,B9*B55)*B12</f>
        <v>222449.5656</v>
      </c>
      <c r="C59" s="157"/>
      <c r="D59" s="157"/>
      <c r="E59" s="157"/>
      <c r="F59" s="157"/>
      <c r="G59" s="157"/>
      <c r="H59" s="157"/>
    </row>
    <row r="60">
      <c r="A60" s="89" t="s">
        <v>651</v>
      </c>
      <c r="B60" s="157">
        <f>B15-B51</f>
        <v>77323.38795</v>
      </c>
      <c r="C60" s="157"/>
      <c r="D60" s="157"/>
      <c r="E60" s="157"/>
      <c r="F60" s="157"/>
      <c r="G60" s="157"/>
      <c r="H60" s="157"/>
    </row>
  </sheetData>
  <mergeCells count="6">
    <mergeCell ref="A1:H1"/>
    <mergeCell ref="A2:H2"/>
    <mergeCell ref="B28:H28"/>
    <mergeCell ref="A31:H31"/>
    <mergeCell ref="A32:H32"/>
    <mergeCell ref="A33:H3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45.13"/>
    <col customWidth="1" min="2" max="6" width="15.13"/>
    <col customWidth="1" min="7" max="7" width="65.13"/>
  </cols>
  <sheetData>
    <row r="1">
      <c r="A1" s="158" t="s">
        <v>652</v>
      </c>
    </row>
    <row r="2">
      <c r="A2" s="89" t="s">
        <v>653</v>
      </c>
    </row>
    <row r="4">
      <c r="A4" s="154" t="s">
        <v>654</v>
      </c>
      <c r="B4" s="159"/>
      <c r="C4" s="159"/>
      <c r="D4" s="159"/>
      <c r="E4" s="159"/>
      <c r="F4" s="159"/>
      <c r="G4" s="159"/>
    </row>
    <row r="5">
      <c r="A5" s="154" t="s">
        <v>655</v>
      </c>
      <c r="B5" s="154" t="s">
        <v>656</v>
      </c>
      <c r="C5" s="154" t="s">
        <v>657</v>
      </c>
      <c r="D5" s="154" t="s">
        <v>658</v>
      </c>
      <c r="E5" s="154" t="s">
        <v>659</v>
      </c>
      <c r="F5" s="154" t="s">
        <v>660</v>
      </c>
      <c r="G5" s="154" t="s">
        <v>265</v>
      </c>
    </row>
    <row r="6">
      <c r="A6" s="89" t="s">
        <v>661</v>
      </c>
      <c r="B6" s="89" t="s">
        <v>662</v>
      </c>
      <c r="C6" s="89" t="s">
        <v>663</v>
      </c>
      <c r="D6" s="89" t="s">
        <v>664</v>
      </c>
      <c r="E6" s="89" t="s">
        <v>665</v>
      </c>
      <c r="F6" s="89" t="s">
        <v>666</v>
      </c>
      <c r="G6" s="160" t="s">
        <v>667</v>
      </c>
    </row>
    <row r="7">
      <c r="A7" s="89" t="s">
        <v>668</v>
      </c>
      <c r="B7" s="161"/>
      <c r="C7" s="162">
        <v>642.62</v>
      </c>
      <c r="D7" s="162">
        <v>524.51</v>
      </c>
      <c r="E7" s="162">
        <v>126.16</v>
      </c>
      <c r="F7" s="162">
        <v>248.0</v>
      </c>
      <c r="G7" s="160" t="s">
        <v>669</v>
      </c>
    </row>
    <row r="8">
      <c r="A8" s="89" t="s">
        <v>670</v>
      </c>
      <c r="B8" s="163"/>
      <c r="C8" s="164">
        <v>2556.241253</v>
      </c>
      <c r="D8" s="164">
        <v>7425.545491</v>
      </c>
      <c r="E8" s="164">
        <v>3023.736</v>
      </c>
      <c r="F8" s="164">
        <v>10783.0</v>
      </c>
      <c r="G8" s="160" t="s">
        <v>671</v>
      </c>
    </row>
    <row r="9">
      <c r="A9" s="89" t="s">
        <v>7</v>
      </c>
      <c r="B9" s="155">
        <f>Valuation!B7</f>
        <v>3916000</v>
      </c>
      <c r="C9" s="165">
        <f t="shared" ref="C9:F9" si="1">C7*C8</f>
        <v>1642691.754</v>
      </c>
      <c r="D9" s="165">
        <f t="shared" si="1"/>
        <v>3894772.865</v>
      </c>
      <c r="E9" s="165">
        <f t="shared" si="1"/>
        <v>381474.5338</v>
      </c>
      <c r="F9" s="165">
        <f t="shared" si="1"/>
        <v>2674184</v>
      </c>
      <c r="G9" s="41"/>
    </row>
    <row r="10">
      <c r="A10" s="89" t="s">
        <v>672</v>
      </c>
      <c r="B10" s="155"/>
      <c r="C10" s="166">
        <f>B73+B74+B75+B76</f>
        <v>108151</v>
      </c>
      <c r="D10" s="166">
        <v>106888.0</v>
      </c>
      <c r="E10" s="166">
        <f>7625+117712+749+8436+4954+424</f>
        <v>139900</v>
      </c>
      <c r="F10" s="165"/>
      <c r="G10" s="160" t="s">
        <v>673</v>
      </c>
    </row>
    <row r="11">
      <c r="A11" s="89" t="s">
        <v>674</v>
      </c>
      <c r="B11" s="155"/>
      <c r="C11" s="166">
        <f>11222+71227</f>
        <v>82449</v>
      </c>
      <c r="D11" s="166">
        <v>76843.0</v>
      </c>
      <c r="E11" s="166">
        <f>36369+708</f>
        <v>37077</v>
      </c>
      <c r="F11" s="165"/>
      <c r="G11" s="160" t="s">
        <v>675</v>
      </c>
    </row>
    <row r="12">
      <c r="A12" s="89" t="s">
        <v>676</v>
      </c>
      <c r="B12" s="155"/>
      <c r="C12" s="166">
        <v>32624.0</v>
      </c>
      <c r="D12" s="166">
        <v>36348.0</v>
      </c>
      <c r="E12" s="166">
        <v>2400.0</v>
      </c>
      <c r="F12" s="165"/>
      <c r="G12" s="160" t="s">
        <v>677</v>
      </c>
    </row>
    <row r="13">
      <c r="A13" s="89" t="s">
        <v>678</v>
      </c>
      <c r="B13" s="155"/>
      <c r="C13" s="165">
        <f t="shared" ref="C13:E13" si="2">0.02*C15</f>
        <v>4832.1</v>
      </c>
      <c r="D13" s="165">
        <f t="shared" si="2"/>
        <v>6636.78</v>
      </c>
      <c r="E13" s="165">
        <f t="shared" si="2"/>
        <v>1435.52</v>
      </c>
      <c r="F13" s="165"/>
      <c r="G13" s="160" t="s">
        <v>679</v>
      </c>
    </row>
    <row r="14">
      <c r="A14" s="89" t="s">
        <v>680</v>
      </c>
      <c r="B14" s="155">
        <f>Valuation!B52</f>
        <v>3749969.853</v>
      </c>
      <c r="C14" s="165">
        <f t="shared" ref="C14:E14" si="3">C9+C10-C11-C12+C13</f>
        <v>1640601.854</v>
      </c>
      <c r="D14" s="165">
        <f t="shared" si="3"/>
        <v>3895106.645</v>
      </c>
      <c r="E14" s="165">
        <f t="shared" si="3"/>
        <v>483333.0538</v>
      </c>
      <c r="F14" s="165"/>
      <c r="G14" s="160" t="s">
        <v>681</v>
      </c>
    </row>
    <row r="15">
      <c r="A15" s="89" t="s">
        <v>609</v>
      </c>
      <c r="B15" s="155">
        <f>'Historical base'!F16</f>
        <v>445866</v>
      </c>
      <c r="C15" s="166">
        <f>200966+181712-141073</f>
        <v>241605</v>
      </c>
      <c r="D15" s="166">
        <v>331839.0</v>
      </c>
      <c r="E15" s="166">
        <f>67357+19345-14926</f>
        <v>71776</v>
      </c>
      <c r="F15" s="166">
        <v>148404.0</v>
      </c>
      <c r="G15" s="160" t="s">
        <v>682</v>
      </c>
    </row>
    <row r="16">
      <c r="A16" s="89" t="s">
        <v>683</v>
      </c>
      <c r="B16" s="167">
        <f>'Historical base'!F16/371399-1</f>
        <v>0.2005040401</v>
      </c>
      <c r="C16" s="168">
        <f>C15/B78-1</f>
        <v>0.2752430618</v>
      </c>
      <c r="D16" s="169">
        <f>331839/281724-1</f>
        <v>0.177886868</v>
      </c>
      <c r="E16" s="169">
        <f>E15/(57399+14926-13307)-1</f>
        <v>0.2161713376</v>
      </c>
      <c r="F16" s="168">
        <v>0.2752</v>
      </c>
      <c r="G16" s="160" t="s">
        <v>684</v>
      </c>
    </row>
    <row r="17">
      <c r="A17" s="89" t="s">
        <v>685</v>
      </c>
      <c r="B17" s="155">
        <f>'Historical base'!F24</f>
        <v>147628</v>
      </c>
      <c r="C17" s="166">
        <f>83276+54635-58531</f>
        <v>79380</v>
      </c>
      <c r="D17" s="166">
        <v>155237.0</v>
      </c>
      <c r="E17" s="166">
        <f>20606+6728-4277</f>
        <v>23057</v>
      </c>
      <c r="F17" s="166">
        <v>54681.0</v>
      </c>
      <c r="G17" s="160" t="s">
        <v>686</v>
      </c>
    </row>
    <row r="18">
      <c r="A18" s="89" t="s">
        <v>610</v>
      </c>
      <c r="B18" s="152">
        <f t="shared" ref="B18:F18" si="4">B17/B15</f>
        <v>0.331103964</v>
      </c>
      <c r="C18" s="169">
        <f t="shared" si="4"/>
        <v>0.3285528031</v>
      </c>
      <c r="D18" s="169">
        <f t="shared" si="4"/>
        <v>0.4678081841</v>
      </c>
      <c r="E18" s="169">
        <f t="shared" si="4"/>
        <v>0.3212355105</v>
      </c>
      <c r="F18" s="169">
        <f t="shared" si="4"/>
        <v>0.3684604189</v>
      </c>
      <c r="G18" s="41"/>
    </row>
    <row r="19">
      <c r="A19" s="89" t="s">
        <v>687</v>
      </c>
      <c r="B19" s="155">
        <f>'Historical base'!F35</f>
        <v>132402</v>
      </c>
      <c r="C19" s="170">
        <f>69691+83055-48308</f>
        <v>104438</v>
      </c>
      <c r="D19" s="170">
        <v>115948.0</v>
      </c>
      <c r="E19" s="170">
        <f>55663+28499-8502</f>
        <v>75660</v>
      </c>
      <c r="F19" s="155"/>
      <c r="G19" s="160" t="s">
        <v>688</v>
      </c>
    </row>
    <row r="20">
      <c r="A20" s="89" t="s">
        <v>689</v>
      </c>
      <c r="B20" s="152">
        <f t="shared" ref="B20:E20" si="5">B19/B15</f>
        <v>0.2969546904</v>
      </c>
      <c r="C20" s="152">
        <f t="shared" si="5"/>
        <v>0.4322675441</v>
      </c>
      <c r="D20" s="152">
        <f t="shared" si="5"/>
        <v>0.3494104069</v>
      </c>
      <c r="E20" s="152">
        <f t="shared" si="5"/>
        <v>1.054112795</v>
      </c>
      <c r="F20" s="152"/>
      <c r="G20" s="41"/>
    </row>
    <row r="21">
      <c r="A21" s="89" t="s">
        <v>690</v>
      </c>
      <c r="B21" s="171">
        <f t="shared" ref="B21:E21" si="6">B14/B17</f>
        <v>25.40148111</v>
      </c>
      <c r="C21" s="171">
        <f t="shared" si="6"/>
        <v>20.66769783</v>
      </c>
      <c r="D21" s="171">
        <f t="shared" si="6"/>
        <v>25.0913548</v>
      </c>
      <c r="E21" s="171">
        <f t="shared" si="6"/>
        <v>20.96252998</v>
      </c>
      <c r="F21" s="171"/>
      <c r="G21" s="160" t="s">
        <v>691</v>
      </c>
    </row>
    <row r="22">
      <c r="A22" s="89" t="s">
        <v>692</v>
      </c>
      <c r="B22" s="171">
        <f>Valuation!B48/B17</f>
        <v>14.68060439</v>
      </c>
      <c r="C22" s="171"/>
      <c r="D22" s="171"/>
      <c r="E22" s="171"/>
      <c r="F22" s="171"/>
      <c r="G22" s="160" t="s">
        <v>693</v>
      </c>
    </row>
    <row r="23">
      <c r="G23" s="41"/>
    </row>
    <row r="24">
      <c r="A24" s="154" t="s">
        <v>694</v>
      </c>
      <c r="B24" s="154" t="s">
        <v>609</v>
      </c>
      <c r="C24" s="154" t="s">
        <v>695</v>
      </c>
      <c r="D24" s="154" t="s">
        <v>696</v>
      </c>
      <c r="E24" s="154" t="s">
        <v>697</v>
      </c>
      <c r="F24" s="159"/>
      <c r="G24" s="172" t="s">
        <v>265</v>
      </c>
    </row>
    <row r="25">
      <c r="A25" s="89" t="s">
        <v>698</v>
      </c>
      <c r="B25" s="173">
        <f>'Historical base'!F13</f>
        <v>77617</v>
      </c>
      <c r="C25" s="167">
        <v>0.578</v>
      </c>
      <c r="D25" s="173">
        <f>'Historical base'!F21</f>
        <v>24319</v>
      </c>
      <c r="E25" s="152">
        <f t="shared" ref="E25:E27" si="7">D25/B25</f>
        <v>0.3133205354</v>
      </c>
      <c r="G25" s="160" t="s">
        <v>699</v>
      </c>
    </row>
    <row r="26">
      <c r="A26" s="89" t="s">
        <v>700</v>
      </c>
      <c r="B26" s="174">
        <v>148404.0</v>
      </c>
      <c r="C26" s="167">
        <v>0.2752</v>
      </c>
      <c r="D26" s="174">
        <v>54681.0</v>
      </c>
      <c r="E26" s="152">
        <f t="shared" si="7"/>
        <v>0.3684604189</v>
      </c>
      <c r="G26" s="160" t="s">
        <v>701</v>
      </c>
    </row>
    <row r="27">
      <c r="A27" s="89" t="s">
        <v>702</v>
      </c>
      <c r="B27" s="174">
        <v>137791.0</v>
      </c>
      <c r="C27" s="152">
        <f>137791/106265-1</f>
        <v>0.2966734108</v>
      </c>
      <c r="D27" s="174">
        <v>56972.0</v>
      </c>
      <c r="E27" s="152">
        <f t="shared" si="7"/>
        <v>0.4134667721</v>
      </c>
      <c r="G27" s="160" t="s">
        <v>703</v>
      </c>
    </row>
    <row r="28">
      <c r="A28" s="89" t="s">
        <v>704</v>
      </c>
      <c r="B28" s="174">
        <v>18101.0</v>
      </c>
      <c r="C28" s="152">
        <f>18101/10234-1</f>
        <v>0.768712136</v>
      </c>
      <c r="D28" s="173"/>
      <c r="E28" s="152"/>
      <c r="G28" s="160" t="s">
        <v>705</v>
      </c>
    </row>
    <row r="29">
      <c r="A29" s="89" t="s">
        <v>706</v>
      </c>
      <c r="B29" s="173">
        <f>'Historical base'!F12</f>
        <v>367091</v>
      </c>
      <c r="C29" s="152"/>
      <c r="D29" s="173">
        <f>'Historical base'!F20</f>
        <v>153792</v>
      </c>
      <c r="E29" s="152">
        <f>D29/B29</f>
        <v>0.4189478903</v>
      </c>
      <c r="G29" s="160" t="s">
        <v>707</v>
      </c>
    </row>
    <row r="30">
      <c r="A30" s="89" t="s">
        <v>708</v>
      </c>
      <c r="B30" s="173"/>
      <c r="C30" s="152"/>
      <c r="D30" s="174">
        <f>102469+67410-71702</f>
        <v>98177</v>
      </c>
      <c r="E30" s="152"/>
      <c r="G30" s="160" t="s">
        <v>709</v>
      </c>
    </row>
    <row r="31">
      <c r="G31" s="41"/>
    </row>
    <row r="32">
      <c r="G32" s="41"/>
    </row>
    <row r="33">
      <c r="A33" s="154" t="s">
        <v>710</v>
      </c>
      <c r="B33" s="159"/>
      <c r="C33" s="159"/>
      <c r="D33" s="159"/>
      <c r="E33" s="159"/>
      <c r="F33" s="159"/>
      <c r="G33" s="175"/>
    </row>
    <row r="34">
      <c r="A34" s="159"/>
      <c r="B34" s="154" t="s">
        <v>711</v>
      </c>
      <c r="C34" s="154" t="s">
        <v>712</v>
      </c>
      <c r="D34" s="154" t="s">
        <v>713</v>
      </c>
      <c r="E34" s="159"/>
      <c r="F34" s="159"/>
      <c r="G34" s="172" t="s">
        <v>6</v>
      </c>
    </row>
    <row r="35">
      <c r="A35" s="89" t="s">
        <v>714</v>
      </c>
      <c r="B35" s="171">
        <f>C14/$B$72</f>
        <v>15.18133985</v>
      </c>
      <c r="C35" s="171">
        <f>AVERAGE(B35,D35)</f>
        <v>16.77965757</v>
      </c>
      <c r="D35" s="171">
        <f>C14/$B$71</f>
        <v>18.37797529</v>
      </c>
      <c r="G35" s="160" t="s">
        <v>715</v>
      </c>
    </row>
    <row r="36">
      <c r="A36" s="89" t="s">
        <v>716</v>
      </c>
      <c r="B36" s="171">
        <f>MIN(D21,E21)</f>
        <v>20.96252998</v>
      </c>
      <c r="C36" s="171">
        <f>AVERAGE(D21,E21)</f>
        <v>23.02694239</v>
      </c>
      <c r="D36" s="171">
        <f>MAX(D21,E21)</f>
        <v>25.0913548</v>
      </c>
      <c r="G36" s="160" t="s">
        <v>717</v>
      </c>
    </row>
    <row r="37">
      <c r="A37" s="89" t="s">
        <v>718</v>
      </c>
      <c r="B37" s="173">
        <f>D25</f>
        <v>24319</v>
      </c>
      <c r="C37" s="173">
        <f>D25</f>
        <v>24319</v>
      </c>
      <c r="D37" s="173">
        <f>2*'Historical base'!E21</f>
        <v>30824</v>
      </c>
      <c r="G37" s="160" t="s">
        <v>719</v>
      </c>
    </row>
    <row r="38">
      <c r="A38" s="89" t="s">
        <v>720</v>
      </c>
      <c r="B38" s="171">
        <f t="shared" ref="B38:D38" si="8">($D$29*B35+B37*B36)/($D$29+B37)</f>
        <v>15.9706946</v>
      </c>
      <c r="C38" s="171">
        <f t="shared" si="8"/>
        <v>17.63265216</v>
      </c>
      <c r="D38" s="171">
        <f t="shared" si="8"/>
        <v>19.49885977</v>
      </c>
      <c r="G38" s="160" t="s">
        <v>721</v>
      </c>
    </row>
    <row r="39">
      <c r="A39" s="89" t="s">
        <v>722</v>
      </c>
      <c r="B39" s="176">
        <v>126000.0</v>
      </c>
      <c r="C39" s="176">
        <v>126000.0</v>
      </c>
      <c r="D39" s="176">
        <v>126000.0</v>
      </c>
      <c r="G39" s="160" t="s">
        <v>723</v>
      </c>
    </row>
    <row r="40">
      <c r="A40" s="89" t="s">
        <v>724</v>
      </c>
      <c r="B40" s="177">
        <v>0.6</v>
      </c>
      <c r="C40" s="177">
        <v>0.75</v>
      </c>
      <c r="D40" s="177">
        <v>0.9</v>
      </c>
      <c r="G40" s="160" t="s">
        <v>725</v>
      </c>
    </row>
    <row r="41">
      <c r="A41" s="89" t="s">
        <v>726</v>
      </c>
      <c r="B41" s="177">
        <v>0.5</v>
      </c>
      <c r="C41" s="177">
        <v>0.65</v>
      </c>
      <c r="D41" s="177">
        <v>0.8</v>
      </c>
      <c r="G41" s="160" t="s">
        <v>727</v>
      </c>
    </row>
    <row r="42">
      <c r="A42" s="89" t="s">
        <v>728</v>
      </c>
      <c r="B42" s="176">
        <v>5.0</v>
      </c>
      <c r="C42" s="176">
        <v>5.0</v>
      </c>
      <c r="D42" s="176">
        <v>5.0</v>
      </c>
      <c r="G42" s="160" t="s">
        <v>729</v>
      </c>
    </row>
    <row r="43">
      <c r="A43" s="89" t="s">
        <v>730</v>
      </c>
      <c r="B43" s="176">
        <v>16000.0</v>
      </c>
      <c r="C43" s="176">
        <v>8000.0</v>
      </c>
      <c r="D43" s="176">
        <v>0.0</v>
      </c>
      <c r="G43" s="160" t="s">
        <v>731</v>
      </c>
    </row>
    <row r="44">
      <c r="G44" s="41"/>
    </row>
    <row r="45">
      <c r="A45" s="154" t="s">
        <v>732</v>
      </c>
      <c r="B45" s="154" t="s">
        <v>711</v>
      </c>
      <c r="C45" s="154" t="s">
        <v>712</v>
      </c>
      <c r="D45" s="154" t="s">
        <v>713</v>
      </c>
      <c r="E45" s="159"/>
      <c r="F45" s="159"/>
      <c r="G45" s="172" t="s">
        <v>6</v>
      </c>
    </row>
    <row r="46">
      <c r="A46" s="89" t="s">
        <v>276</v>
      </c>
      <c r="B46" s="155">
        <f t="shared" ref="B46:D46" si="9">$D$29*B35</f>
        <v>2334768.619</v>
      </c>
      <c r="C46" s="155">
        <f t="shared" si="9"/>
        <v>2580577.097</v>
      </c>
      <c r="D46" s="155">
        <f t="shared" si="9"/>
        <v>2826385.576</v>
      </c>
      <c r="G46" s="160" t="s">
        <v>733</v>
      </c>
    </row>
    <row r="47">
      <c r="A47" s="89" t="s">
        <v>278</v>
      </c>
      <c r="B47" s="155">
        <f t="shared" ref="B47:D47" si="10">B37*B36</f>
        <v>509787.7666</v>
      </c>
      <c r="C47" s="155">
        <f t="shared" si="10"/>
        <v>559992.212</v>
      </c>
      <c r="D47" s="155">
        <f t="shared" si="10"/>
        <v>773415.9204</v>
      </c>
      <c r="G47" s="160" t="s">
        <v>734</v>
      </c>
    </row>
    <row r="48">
      <c r="A48" s="89" t="s">
        <v>735</v>
      </c>
      <c r="B48" s="155">
        <f>'Historical base'!$F$23*B38</f>
        <v>-344024.7323</v>
      </c>
      <c r="C48" s="155">
        <f>'Historical base'!$F$23*C38</f>
        <v>-379824.9602</v>
      </c>
      <c r="D48" s="155">
        <f>'Historical base'!$F$23*D38</f>
        <v>-420024.9384</v>
      </c>
      <c r="G48" s="160" t="s">
        <v>736</v>
      </c>
    </row>
    <row r="49">
      <c r="A49" s="89" t="s">
        <v>737</v>
      </c>
      <c r="B49" s="155">
        <f t="shared" ref="B49:D49" si="11">B39*B40</f>
        <v>75600</v>
      </c>
      <c r="C49" s="155">
        <f t="shared" si="11"/>
        <v>94500</v>
      </c>
      <c r="D49" s="155">
        <f t="shared" si="11"/>
        <v>113400</v>
      </c>
      <c r="G49" s="160" t="s">
        <v>738</v>
      </c>
    </row>
    <row r="50">
      <c r="A50" s="89" t="s">
        <v>739</v>
      </c>
      <c r="B50" s="155">
        <f>'Historical base'!$F$22*(1-B41)*(1-Assumptions!$B$5)*(1-(1+Valuation!$B$29)^-B42)/Valuation!$B$29</f>
        <v>-13603.127</v>
      </c>
      <c r="C50" s="155">
        <f>'Historical base'!$F$22*(1-C41)*(1-Assumptions!$B$5)*(1-(1+Valuation!$B$29)^-C42)/Valuation!$B$29</f>
        <v>-9522.188899</v>
      </c>
      <c r="D50" s="155">
        <f>'Historical base'!$F$22*(1-D41)*(1-Assumptions!$B$5)*(1-(1+Valuation!$B$29)^-D42)/Valuation!$B$29</f>
        <v>-5441.250799</v>
      </c>
      <c r="G50" s="160" t="s">
        <v>740</v>
      </c>
    </row>
    <row r="51">
      <c r="A51" s="154" t="s">
        <v>741</v>
      </c>
      <c r="B51" s="178">
        <f t="shared" ref="B51:D51" si="12">SUM(B46:B50)</f>
        <v>2562528.526</v>
      </c>
      <c r="C51" s="178">
        <f t="shared" si="12"/>
        <v>2845722.16</v>
      </c>
      <c r="D51" s="178">
        <f t="shared" si="12"/>
        <v>3287735.307</v>
      </c>
      <c r="G51" s="160" t="s">
        <v>742</v>
      </c>
    </row>
    <row r="52">
      <c r="A52" s="89" t="s">
        <v>743</v>
      </c>
      <c r="B52" s="155">
        <f>Valuation!$B$49</f>
        <v>307266.4721</v>
      </c>
      <c r="C52" s="155">
        <f>Valuation!$B$49</f>
        <v>307266.4721</v>
      </c>
      <c r="D52" s="155">
        <f>Valuation!$B$49</f>
        <v>307266.4721</v>
      </c>
      <c r="G52" s="160" t="s">
        <v>744</v>
      </c>
    </row>
    <row r="53">
      <c r="A53" s="89" t="s">
        <v>745</v>
      </c>
      <c r="B53" s="155">
        <f t="shared" ref="B53:D53" si="13">-B43</f>
        <v>-16000</v>
      </c>
      <c r="C53" s="155">
        <f t="shared" si="13"/>
        <v>-8000</v>
      </c>
      <c r="D53" s="155">
        <f t="shared" si="13"/>
        <v>0</v>
      </c>
      <c r="G53" s="160" t="s">
        <v>746</v>
      </c>
    </row>
    <row r="54">
      <c r="A54" s="89" t="s">
        <v>747</v>
      </c>
      <c r="B54" s="155">
        <f>-Valuation!$B$50</f>
        <v>-141236.325</v>
      </c>
      <c r="C54" s="155">
        <f>-Valuation!$B$50</f>
        <v>-141236.325</v>
      </c>
      <c r="D54" s="155">
        <f>-Valuation!$B$50</f>
        <v>-141236.325</v>
      </c>
      <c r="G54" s="160" t="s">
        <v>748</v>
      </c>
    </row>
    <row r="55">
      <c r="A55" s="154" t="s">
        <v>749</v>
      </c>
      <c r="B55" s="178">
        <f t="shared" ref="B55:D55" si="14">SUM(B51:B54)</f>
        <v>2712558.673</v>
      </c>
      <c r="C55" s="178">
        <f t="shared" si="14"/>
        <v>3003752.307</v>
      </c>
      <c r="D55" s="178">
        <f t="shared" si="14"/>
        <v>3453765.454</v>
      </c>
      <c r="G55" s="41"/>
    </row>
    <row r="56">
      <c r="A56" s="154" t="s">
        <v>750</v>
      </c>
      <c r="B56" s="179">
        <f>B55/Valuation!$B$7-1</f>
        <v>-0.3073139241</v>
      </c>
      <c r="C56" s="179">
        <f>C55/Valuation!$B$7-1</f>
        <v>-0.2329539563</v>
      </c>
      <c r="D56" s="179">
        <f>D55/Valuation!$B$7-1</f>
        <v>-0.1180374224</v>
      </c>
      <c r="G56" s="41"/>
    </row>
    <row r="57">
      <c r="A57" s="89" t="s">
        <v>751</v>
      </c>
      <c r="B57" s="155">
        <f>Valuation!$B$48+Valuation!$B$49-Valuation!$B$50</f>
        <v>2333298.412</v>
      </c>
      <c r="C57" s="155">
        <f>Valuation!$B$48+Valuation!$B$49-Valuation!$B$50</f>
        <v>2333298.412</v>
      </c>
      <c r="D57" s="155">
        <f>Valuation!$B$48+Valuation!$B$49-Valuation!$B$50</f>
        <v>2333298.412</v>
      </c>
      <c r="G57" s="160" t="s">
        <v>752</v>
      </c>
    </row>
    <row r="58">
      <c r="A58" s="89" t="s">
        <v>753</v>
      </c>
      <c r="B58" s="152">
        <f t="shared" ref="B58:D58" si="15">B55/B57-1</f>
        <v>0.1625425444</v>
      </c>
      <c r="C58" s="152">
        <f t="shared" si="15"/>
        <v>0.2873416839</v>
      </c>
      <c r="D58" s="152">
        <f t="shared" si="15"/>
        <v>0.4802073475</v>
      </c>
      <c r="G58" s="41"/>
    </row>
    <row r="59">
      <c r="A59" s="89"/>
      <c r="B59" s="171"/>
      <c r="C59" s="171"/>
      <c r="D59" s="171"/>
      <c r="G59" s="160"/>
    </row>
    <row r="60">
      <c r="A60" s="89" t="s">
        <v>754</v>
      </c>
      <c r="B60" s="171">
        <f>((Valuation!$B$7-(B49+B50+B52+B53+B54))/(1-ABS('Historical base'!$F$23)/($D$29+B37))-$D$29*B35)/B37</f>
        <v>77.25643797</v>
      </c>
      <c r="C60" s="171">
        <f>((Valuation!$B$7-(C49+C50+C52+C53+C54))/(1-ABS('Historical base'!$F$23)/($D$29+C37))-$D$29*C35)/C37</f>
        <v>65.69955679</v>
      </c>
      <c r="D60" s="171">
        <f>((Valuation!$B$7-(D49+D50+D52+D53+D54))/(1-ABS('Historical base'!$F$23)/($D$29+D37))-$D$29*D35)/D37</f>
        <v>42.06813611</v>
      </c>
      <c r="G60" s="160" t="s">
        <v>755</v>
      </c>
    </row>
    <row r="61">
      <c r="A61" s="89" t="s">
        <v>756</v>
      </c>
      <c r="B61" s="171">
        <f>((Valuation!$B$7-(B49+B50+B52+B53+B54))/(1-ABS('Historical base'!$F$23)/($D$29+B37))-B37*B36)/$D$29</f>
        <v>24.08304832</v>
      </c>
      <c r="C61" s="171">
        <f>((Valuation!$B$7-(C49+C50+C52+C53+C54))/(1-ABS('Historical base'!$F$23)/($D$29+C37))-C37*C36)/$D$29</f>
        <v>23.5274423</v>
      </c>
      <c r="D61" s="171">
        <f>((Valuation!$B$7-(D49+D50+D52+D53+D54))/(1-ABS('Historical base'!$F$23)/($D$29+D37))-D37*D36)/$D$29</f>
        <v>21.780573</v>
      </c>
      <c r="G61" s="89" t="s">
        <v>757</v>
      </c>
    </row>
    <row r="62">
      <c r="A62" s="180" t="s">
        <v>758</v>
      </c>
      <c r="B62" s="181"/>
      <c r="C62" s="181"/>
      <c r="D62" s="181"/>
      <c r="E62" s="181"/>
      <c r="F62" s="181"/>
      <c r="G62" s="181"/>
    </row>
    <row r="63">
      <c r="A63" s="180" t="s">
        <v>759</v>
      </c>
      <c r="B63" s="181"/>
      <c r="C63" s="181"/>
      <c r="D63" s="181"/>
      <c r="E63" s="181"/>
      <c r="F63" s="181"/>
      <c r="G63" s="181"/>
    </row>
    <row r="64">
      <c r="A64" s="180" t="s">
        <v>760</v>
      </c>
      <c r="B64" s="181"/>
      <c r="C64" s="181"/>
      <c r="D64" s="181"/>
      <c r="E64" s="181"/>
      <c r="F64" s="181"/>
      <c r="G64" s="181"/>
    </row>
    <row r="65">
      <c r="A65" s="181"/>
      <c r="B65" s="181"/>
      <c r="C65" s="181"/>
      <c r="D65" s="181"/>
      <c r="E65" s="181"/>
      <c r="F65" s="181"/>
      <c r="G65" s="181"/>
    </row>
    <row r="66">
      <c r="A66" s="181"/>
      <c r="B66" s="181"/>
      <c r="C66" s="181"/>
      <c r="D66" s="181"/>
      <c r="E66" s="181"/>
      <c r="F66" s="181"/>
      <c r="G66" s="181"/>
    </row>
    <row r="67">
      <c r="A67" s="182" t="s">
        <v>761</v>
      </c>
      <c r="B67" s="182"/>
      <c r="C67" s="182"/>
    </row>
    <row r="68">
      <c r="A68" s="183" t="s">
        <v>762</v>
      </c>
      <c r="B68" s="183" t="s">
        <v>763</v>
      </c>
      <c r="C68" s="183"/>
    </row>
    <row r="69">
      <c r="A69" s="183" t="s">
        <v>764</v>
      </c>
      <c r="B69" s="183" t="s">
        <v>765</v>
      </c>
      <c r="C69" s="183"/>
    </row>
    <row r="70">
      <c r="A70" s="183" t="s">
        <v>766</v>
      </c>
      <c r="B70" s="183">
        <v>9890.0</v>
      </c>
      <c r="C70" s="183" t="s">
        <v>767</v>
      </c>
    </row>
    <row r="71">
      <c r="A71" s="183" t="s">
        <v>768</v>
      </c>
      <c r="B71" s="184">
        <f>C17+B70</f>
        <v>89270</v>
      </c>
      <c r="C71" s="183"/>
    </row>
    <row r="72">
      <c r="A72" s="183" t="s">
        <v>769</v>
      </c>
      <c r="B72" s="185">
        <f>D30+B70</f>
        <v>108067</v>
      </c>
      <c r="C72" s="183"/>
    </row>
    <row r="73">
      <c r="A73" s="183" t="s">
        <v>770</v>
      </c>
      <c r="B73" s="183">
        <v>80922.0</v>
      </c>
      <c r="C73" s="183"/>
    </row>
    <row r="74">
      <c r="A74" s="183" t="s">
        <v>771</v>
      </c>
      <c r="B74" s="183">
        <v>2750.0</v>
      </c>
      <c r="C74" s="183"/>
    </row>
    <row r="75">
      <c r="A75" s="183" t="s">
        <v>772</v>
      </c>
      <c r="B75" s="183">
        <v>11704.0</v>
      </c>
      <c r="C75" s="183" t="s">
        <v>773</v>
      </c>
    </row>
    <row r="76">
      <c r="A76" s="183" t="s">
        <v>774</v>
      </c>
      <c r="B76" s="183">
        <v>12775.0</v>
      </c>
      <c r="C76" s="183" t="s">
        <v>775</v>
      </c>
    </row>
    <row r="77">
      <c r="A77" s="183" t="s">
        <v>776</v>
      </c>
      <c r="B77" s="183">
        <v>116116.0</v>
      </c>
      <c r="C77" s="183"/>
    </row>
    <row r="78">
      <c r="A78" s="183" t="s">
        <v>777</v>
      </c>
      <c r="B78" s="183">
        <f>164501+141073-B77</f>
        <v>189458</v>
      </c>
      <c r="C78" s="183"/>
    </row>
    <row r="79">
      <c r="A79" s="183" t="s">
        <v>778</v>
      </c>
      <c r="B79" s="183" t="s">
        <v>779</v>
      </c>
      <c r="C79" s="183"/>
    </row>
    <row r="80">
      <c r="A80" s="183" t="s">
        <v>780</v>
      </c>
      <c r="B80" s="183">
        <f>C14/B71</f>
        <v>18.37797529</v>
      </c>
      <c r="C80" s="183"/>
    </row>
    <row r="81">
      <c r="A81" s="183" t="s">
        <v>781</v>
      </c>
      <c r="B81" s="183" t="s">
        <v>782</v>
      </c>
      <c r="C81" s="18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7.63"/>
    <col customWidth="1" min="2" max="4" width="15.13"/>
    <col customWidth="1" min="5" max="5" width="52.63"/>
    <col customWidth="1" min="6" max="6" width="27.63"/>
  </cols>
  <sheetData>
    <row r="1">
      <c r="A1" s="158" t="s">
        <v>783</v>
      </c>
    </row>
    <row r="2" ht="49.5" customHeight="1">
      <c r="A2" s="186" t="s">
        <v>784</v>
      </c>
    </row>
    <row r="4">
      <c r="A4" s="187" t="s">
        <v>785</v>
      </c>
      <c r="B4" s="187" t="s">
        <v>135</v>
      </c>
      <c r="C4" s="187" t="s">
        <v>128</v>
      </c>
      <c r="D4" s="187" t="s">
        <v>134</v>
      </c>
      <c r="E4" s="187" t="s">
        <v>786</v>
      </c>
      <c r="F4" s="187" t="s">
        <v>6</v>
      </c>
    </row>
    <row r="5">
      <c r="A5" s="186" t="s">
        <v>787</v>
      </c>
      <c r="B5" s="186" t="s">
        <v>788</v>
      </c>
      <c r="C5" s="186" t="s">
        <v>789</v>
      </c>
      <c r="D5" s="186" t="s">
        <v>790</v>
      </c>
      <c r="E5" s="186" t="s">
        <v>791</v>
      </c>
      <c r="F5" s="186" t="s">
        <v>792</v>
      </c>
    </row>
    <row r="6">
      <c r="A6" s="186" t="s">
        <v>793</v>
      </c>
      <c r="B6" s="186" t="s">
        <v>794</v>
      </c>
      <c r="C6" s="186" t="s">
        <v>795</v>
      </c>
      <c r="D6" s="186" t="s">
        <v>796</v>
      </c>
      <c r="E6" s="186" t="s">
        <v>797</v>
      </c>
      <c r="F6" s="186" t="s">
        <v>792</v>
      </c>
    </row>
    <row r="7">
      <c r="A7" s="186" t="s">
        <v>798</v>
      </c>
      <c r="B7" s="186" t="s">
        <v>799</v>
      </c>
      <c r="C7" s="186" t="s">
        <v>800</v>
      </c>
      <c r="D7" s="186" t="s">
        <v>801</v>
      </c>
      <c r="E7" s="186" t="s">
        <v>802</v>
      </c>
      <c r="F7" s="186" t="s">
        <v>792</v>
      </c>
    </row>
    <row r="8">
      <c r="A8" s="186" t="s">
        <v>803</v>
      </c>
      <c r="B8" s="186" t="s">
        <v>804</v>
      </c>
      <c r="C8" s="186" t="s">
        <v>805</v>
      </c>
      <c r="D8" s="186" t="s">
        <v>806</v>
      </c>
      <c r="E8" s="186" t="s">
        <v>807</v>
      </c>
      <c r="F8" s="186" t="s">
        <v>792</v>
      </c>
    </row>
    <row r="9">
      <c r="A9" s="186" t="s">
        <v>808</v>
      </c>
      <c r="B9" s="186" t="s">
        <v>809</v>
      </c>
      <c r="C9" s="186" t="s">
        <v>810</v>
      </c>
      <c r="D9" s="186" t="s">
        <v>811</v>
      </c>
      <c r="E9" s="186" t="s">
        <v>812</v>
      </c>
      <c r="F9" s="186" t="s">
        <v>813</v>
      </c>
    </row>
    <row r="10">
      <c r="A10" s="186" t="s">
        <v>814</v>
      </c>
      <c r="B10" s="186" t="s">
        <v>815</v>
      </c>
      <c r="C10" s="186" t="s">
        <v>816</v>
      </c>
      <c r="D10" s="186" t="s">
        <v>817</v>
      </c>
      <c r="E10" s="186" t="s">
        <v>818</v>
      </c>
      <c r="F10" s="186" t="s">
        <v>819</v>
      </c>
    </row>
    <row r="11">
      <c r="A11" s="186" t="s">
        <v>820</v>
      </c>
      <c r="B11" s="186" t="s">
        <v>821</v>
      </c>
      <c r="C11" s="186" t="s">
        <v>822</v>
      </c>
      <c r="D11" s="186" t="s">
        <v>823</v>
      </c>
      <c r="E11" s="186" t="s">
        <v>824</v>
      </c>
      <c r="F11" s="186" t="s">
        <v>825</v>
      </c>
    </row>
    <row r="12">
      <c r="A12" s="186" t="s">
        <v>826</v>
      </c>
      <c r="B12" s="188">
        <v>0.4</v>
      </c>
      <c r="C12" s="188">
        <v>0.6</v>
      </c>
      <c r="D12" s="188">
        <v>0.8</v>
      </c>
      <c r="E12" s="186" t="s">
        <v>827</v>
      </c>
      <c r="F12" s="186" t="s">
        <v>828</v>
      </c>
    </row>
    <row r="13">
      <c r="A13" s="186" t="s">
        <v>829</v>
      </c>
      <c r="B13" s="186" t="s">
        <v>830</v>
      </c>
      <c r="C13" s="186" t="s">
        <v>831</v>
      </c>
      <c r="D13" s="186" t="s">
        <v>832</v>
      </c>
      <c r="E13" s="186" t="s">
        <v>833</v>
      </c>
      <c r="F13" s="186" t="s">
        <v>834</v>
      </c>
    </row>
    <row r="14">
      <c r="A14" s="186" t="s">
        <v>835</v>
      </c>
      <c r="B14" s="189" t="s">
        <v>836</v>
      </c>
      <c r="C14" s="186">
        <v>0.0</v>
      </c>
      <c r="D14" s="189" t="s">
        <v>837</v>
      </c>
      <c r="E14" s="186" t="s">
        <v>838</v>
      </c>
      <c r="F14" s="186" t="s">
        <v>839</v>
      </c>
    </row>
    <row r="15">
      <c r="A15" s="186" t="s">
        <v>840</v>
      </c>
      <c r="B15" s="188">
        <v>0.08</v>
      </c>
      <c r="C15" s="188">
        <v>0.15</v>
      </c>
      <c r="D15" s="188">
        <v>0.25</v>
      </c>
      <c r="E15" s="186" t="s">
        <v>841</v>
      </c>
      <c r="F15" s="186" t="s">
        <v>839</v>
      </c>
    </row>
    <row r="16">
      <c r="A16" s="186" t="s">
        <v>842</v>
      </c>
      <c r="B16" s="188">
        <v>0.2</v>
      </c>
      <c r="C16" s="188">
        <v>0.12</v>
      </c>
      <c r="D16" s="188">
        <v>0.15</v>
      </c>
      <c r="E16" s="186" t="s">
        <v>843</v>
      </c>
      <c r="F16" s="186" t="s">
        <v>839</v>
      </c>
    </row>
    <row r="17">
      <c r="A17" s="186" t="s">
        <v>844</v>
      </c>
      <c r="B17" s="186" t="s">
        <v>845</v>
      </c>
      <c r="C17" s="186" t="s">
        <v>846</v>
      </c>
      <c r="D17" s="186" t="s">
        <v>847</v>
      </c>
      <c r="E17" s="186" t="s">
        <v>848</v>
      </c>
      <c r="F17" s="186" t="s">
        <v>792</v>
      </c>
    </row>
    <row r="18">
      <c r="A18" s="186" t="s">
        <v>849</v>
      </c>
      <c r="B18" s="186" t="s">
        <v>850</v>
      </c>
      <c r="C18" s="186" t="s">
        <v>851</v>
      </c>
      <c r="D18" s="186" t="s">
        <v>852</v>
      </c>
      <c r="E18" s="186" t="s">
        <v>853</v>
      </c>
      <c r="F18" s="186" t="s">
        <v>839</v>
      </c>
    </row>
    <row r="19">
      <c r="A19" s="186" t="s">
        <v>854</v>
      </c>
      <c r="B19" s="186" t="s">
        <v>855</v>
      </c>
      <c r="C19" s="186" t="s">
        <v>856</v>
      </c>
      <c r="D19" s="186" t="s">
        <v>857</v>
      </c>
      <c r="E19" s="186" t="s">
        <v>858</v>
      </c>
      <c r="F19" s="186" t="s">
        <v>839</v>
      </c>
    </row>
    <row r="20">
      <c r="A20" s="186" t="s">
        <v>859</v>
      </c>
      <c r="B20" s="186" t="str">
        <f>"WACC "&amp;TEXT(Valuation!B29,"0.00%")</f>
        <v>WACC 9.38%</v>
      </c>
      <c r="C20" s="188">
        <v>0.12</v>
      </c>
      <c r="D20" s="188">
        <v>0.16</v>
      </c>
      <c r="E20" s="186" t="s">
        <v>860</v>
      </c>
      <c r="F20" s="186" t="s">
        <v>861</v>
      </c>
    </row>
    <row r="21">
      <c r="A21" s="186" t="s">
        <v>35</v>
      </c>
      <c r="B21" s="190">
        <v>0.02</v>
      </c>
      <c r="C21" s="190">
        <v>0.03</v>
      </c>
      <c r="D21" s="190">
        <v>0.035</v>
      </c>
      <c r="E21" s="186" t="str">
        <f>"Below the "&amp;TEXT('Discount rate'!B8,"0.00%")&amp;" Treasury yield"</f>
        <v>Below the 5.00% Treasury yield</v>
      </c>
      <c r="F21" s="186" t="s">
        <v>862</v>
      </c>
    </row>
    <row r="22">
      <c r="A22" s="191"/>
      <c r="B22" s="191"/>
      <c r="C22" s="191"/>
      <c r="D22" s="191"/>
      <c r="E22" s="191"/>
      <c r="F22" s="191"/>
    </row>
    <row r="23">
      <c r="A23" s="187" t="s">
        <v>863</v>
      </c>
      <c r="B23" s="187" t="s">
        <v>864</v>
      </c>
      <c r="C23" s="192"/>
      <c r="D23" s="192"/>
      <c r="E23" s="187" t="s">
        <v>865</v>
      </c>
      <c r="F23" s="187" t="s">
        <v>6</v>
      </c>
    </row>
    <row r="24">
      <c r="A24" s="186" t="s">
        <v>866</v>
      </c>
      <c r="B24" s="193">
        <v>0.5</v>
      </c>
      <c r="C24" s="191"/>
      <c r="D24" s="191"/>
      <c r="E24" s="186" t="s">
        <v>867</v>
      </c>
      <c r="F24" s="186" t="s">
        <v>839</v>
      </c>
    </row>
    <row r="25">
      <c r="A25" s="186" t="s">
        <v>868</v>
      </c>
      <c r="B25" s="193">
        <v>0.4</v>
      </c>
      <c r="C25" s="191"/>
      <c r="D25" s="191"/>
      <c r="E25" s="186" t="s">
        <v>869</v>
      </c>
      <c r="F25" s="186" t="s">
        <v>839</v>
      </c>
    </row>
    <row r="26">
      <c r="A26" s="186" t="s">
        <v>870</v>
      </c>
      <c r="B26" s="193">
        <v>0.4</v>
      </c>
      <c r="C26" s="191"/>
      <c r="D26" s="191"/>
      <c r="E26" s="186" t="s">
        <v>871</v>
      </c>
      <c r="F26" s="186" t="s">
        <v>839</v>
      </c>
    </row>
    <row r="27">
      <c r="A27" s="186" t="s">
        <v>872</v>
      </c>
      <c r="B27" s="193">
        <v>0.3</v>
      </c>
      <c r="C27" s="191"/>
      <c r="D27" s="191"/>
      <c r="E27" s="186" t="s">
        <v>873</v>
      </c>
      <c r="F27" s="186" t="s">
        <v>839</v>
      </c>
    </row>
    <row r="28">
      <c r="A28" s="186" t="s">
        <v>874</v>
      </c>
      <c r="B28" s="193">
        <v>0.4</v>
      </c>
      <c r="C28" s="191"/>
      <c r="D28" s="191"/>
      <c r="E28" s="186" t="s">
        <v>875</v>
      </c>
      <c r="F28" s="186" t="s">
        <v>839</v>
      </c>
    </row>
    <row r="29">
      <c r="A29" s="186" t="s">
        <v>876</v>
      </c>
      <c r="B29" s="193">
        <v>0.4</v>
      </c>
      <c r="C29" s="191"/>
      <c r="D29" s="191"/>
      <c r="E29" s="186" t="s">
        <v>877</v>
      </c>
      <c r="F29" s="186" t="s">
        <v>839</v>
      </c>
    </row>
    <row r="30">
      <c r="A30" s="186" t="s">
        <v>878</v>
      </c>
      <c r="B30" s="193">
        <v>0.3</v>
      </c>
      <c r="C30" s="191"/>
      <c r="D30" s="191"/>
      <c r="E30" s="186" t="s">
        <v>879</v>
      </c>
      <c r="F30" s="186" t="s">
        <v>839</v>
      </c>
    </row>
    <row r="31">
      <c r="A31" s="186" t="s">
        <v>880</v>
      </c>
      <c r="B31" s="193">
        <v>0.3</v>
      </c>
      <c r="C31" s="191"/>
      <c r="D31" s="191"/>
      <c r="E31" s="186" t="s">
        <v>881</v>
      </c>
      <c r="F31" s="186" t="s">
        <v>839</v>
      </c>
    </row>
    <row r="32">
      <c r="A32" s="186" t="s">
        <v>882</v>
      </c>
      <c r="B32" s="193">
        <v>0.3</v>
      </c>
      <c r="C32" s="191"/>
      <c r="D32" s="191"/>
      <c r="E32" s="186" t="s">
        <v>883</v>
      </c>
      <c r="F32" s="186" t="s">
        <v>839</v>
      </c>
    </row>
    <row r="33">
      <c r="A33" s="186" t="s">
        <v>884</v>
      </c>
      <c r="B33" s="193">
        <v>0.3</v>
      </c>
      <c r="C33" s="191"/>
      <c r="D33" s="191"/>
      <c r="E33" s="186" t="s">
        <v>885</v>
      </c>
      <c r="F33" s="186" t="s">
        <v>839</v>
      </c>
    </row>
    <row r="34">
      <c r="A34" s="191"/>
      <c r="B34" s="191"/>
      <c r="C34" s="191"/>
      <c r="D34" s="191"/>
      <c r="E34" s="191"/>
      <c r="F34" s="191"/>
    </row>
    <row r="35">
      <c r="A35" s="187" t="s">
        <v>886</v>
      </c>
      <c r="B35" s="187" t="s">
        <v>887</v>
      </c>
      <c r="C35" s="187" t="s">
        <v>888</v>
      </c>
      <c r="D35" s="187" t="s">
        <v>889</v>
      </c>
      <c r="E35" s="187" t="s">
        <v>890</v>
      </c>
      <c r="F35" s="187" t="s">
        <v>891</v>
      </c>
    </row>
    <row r="36">
      <c r="A36" s="186" t="s">
        <v>892</v>
      </c>
      <c r="B36" s="194">
        <v>1.6507302029</v>
      </c>
      <c r="C36" s="194">
        <v>2.0406440578</v>
      </c>
      <c r="D36" s="194">
        <v>2.4459123478</v>
      </c>
      <c r="E36" s="195">
        <v>0.0</v>
      </c>
      <c r="F36" s="194">
        <v>3.2424546376</v>
      </c>
    </row>
    <row r="37">
      <c r="A37" s="186" t="s">
        <v>893</v>
      </c>
      <c r="B37" s="194">
        <v>1.7117169876</v>
      </c>
      <c r="C37" s="194">
        <v>2.0351451623</v>
      </c>
      <c r="D37" s="194">
        <v>2.3687983596</v>
      </c>
      <c r="E37" s="195">
        <v>0.0</v>
      </c>
      <c r="F37" s="194">
        <v>3.1092404404</v>
      </c>
    </row>
    <row r="38">
      <c r="A38" s="186" t="s">
        <v>894</v>
      </c>
      <c r="B38" s="194">
        <v>1.6331132804</v>
      </c>
      <c r="C38" s="194">
        <v>2.0404970695</v>
      </c>
      <c r="D38" s="194">
        <v>2.4675712159</v>
      </c>
      <c r="E38" s="195">
        <v>0.0</v>
      </c>
      <c r="F38" s="194">
        <v>3.2468180264</v>
      </c>
    </row>
    <row r="39">
      <c r="A39" s="186" t="s">
        <v>895</v>
      </c>
      <c r="B39" s="194">
        <v>1.617390778</v>
      </c>
      <c r="C39" s="194">
        <v>2.0348122455</v>
      </c>
      <c r="D39" s="194">
        <v>2.5114941805</v>
      </c>
      <c r="E39" s="195">
        <v>0.0</v>
      </c>
      <c r="F39" s="194">
        <v>3.5417598686</v>
      </c>
    </row>
    <row r="40">
      <c r="A40" s="186" t="s">
        <v>896</v>
      </c>
      <c r="B40" s="194">
        <v>1.5410150339</v>
      </c>
      <c r="C40" s="194">
        <v>2.0322129901</v>
      </c>
      <c r="D40" s="194">
        <v>2.6840021054</v>
      </c>
      <c r="E40" s="195">
        <v>14.0</v>
      </c>
      <c r="F40" s="194">
        <v>4.2472644274</v>
      </c>
    </row>
    <row r="41" ht="36.0" customHeight="1">
      <c r="A41" s="186" t="s">
        <v>897</v>
      </c>
    </row>
    <row r="42" ht="24.0" customHeight="1">
      <c r="A42" s="186" t="s">
        <v>898</v>
      </c>
    </row>
    <row r="43" ht="31.5" customHeight="1">
      <c r="A43" s="186" t="s">
        <v>899</v>
      </c>
      <c r="B43" s="194">
        <v>1.4343562517</v>
      </c>
      <c r="C43" s="194">
        <v>1.9749862791</v>
      </c>
      <c r="D43" s="194">
        <v>2.5632591582</v>
      </c>
      <c r="E43" s="195">
        <v>0.0</v>
      </c>
      <c r="F43" s="194">
        <v>3.6024990163</v>
      </c>
    </row>
    <row r="45" ht="28.5" customHeight="1">
      <c r="A45" s="196" t="s">
        <v>900</v>
      </c>
      <c r="B45" s="196" t="s">
        <v>124</v>
      </c>
      <c r="C45" s="196" t="s">
        <v>901</v>
      </c>
      <c r="D45" s="196" t="s">
        <v>902</v>
      </c>
    </row>
    <row r="46" ht="18.0" customHeight="1">
      <c r="A46" s="197" t="s">
        <v>135</v>
      </c>
      <c r="B46" s="198">
        <v>259.89784366922856</v>
      </c>
      <c r="C46" s="199">
        <v>0.03584961020315491</v>
      </c>
      <c r="D46" s="199">
        <v>0.03584961020315491</v>
      </c>
    </row>
    <row r="47" ht="18.0" customHeight="1">
      <c r="A47" s="197" t="s">
        <v>128</v>
      </c>
      <c r="B47" s="200">
        <f>Valuation!B48/1000</f>
        <v>2167.268265</v>
      </c>
      <c r="C47" s="199">
        <v>0.20099480351820534</v>
      </c>
      <c r="D47" s="199">
        <v>0.12</v>
      </c>
    </row>
    <row r="48" ht="18.0" customHeight="1">
      <c r="A48" s="197" t="s">
        <v>134</v>
      </c>
      <c r="B48" s="198">
        <v>4024.8881713013707</v>
      </c>
      <c r="C48" s="199">
        <v>0.25245469171371554</v>
      </c>
      <c r="D48" s="199">
        <v>0.16</v>
      </c>
    </row>
    <row r="49" ht="36.0" customHeight="1">
      <c r="A49" s="197" t="s">
        <v>903</v>
      </c>
    </row>
    <row r="51" ht="19.5" customHeight="1">
      <c r="A51" s="196" t="s">
        <v>904</v>
      </c>
    </row>
    <row r="52" ht="48.0" customHeight="1">
      <c r="A52" s="197" t="s">
        <v>905</v>
      </c>
    </row>
    <row r="53" ht="48.0" customHeight="1">
      <c r="A53" s="197" t="s">
        <v>906</v>
      </c>
    </row>
    <row r="54" ht="60.0" customHeight="1">
      <c r="A54" s="197" t="s">
        <v>907</v>
      </c>
    </row>
    <row r="55" ht="36.0" customHeight="1">
      <c r="A55" s="197" t="s">
        <v>908</v>
      </c>
    </row>
  </sheetData>
  <mergeCells count="9">
    <mergeCell ref="A54:F54"/>
    <mergeCell ref="A55:F55"/>
    <mergeCell ref="A2:F2"/>
    <mergeCell ref="A41:F41"/>
    <mergeCell ref="A42:F42"/>
    <mergeCell ref="A49:F49"/>
    <mergeCell ref="A51:F51"/>
    <mergeCell ref="A52:F52"/>
    <mergeCell ref="A53:F5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63"/>
    <col customWidth="1" min="2" max="8" width="15.75"/>
    <col customWidth="1" min="9" max="9" width="50.13"/>
  </cols>
  <sheetData>
    <row r="1" ht="28.5" customHeight="1">
      <c r="A1" s="201" t="s">
        <v>909</v>
      </c>
    </row>
    <row r="2" ht="39.0" customHeight="1">
      <c r="A2" s="96" t="s">
        <v>910</v>
      </c>
    </row>
    <row r="3" ht="24.0" customHeight="1">
      <c r="A3" s="96" t="s">
        <v>911</v>
      </c>
      <c r="B3" s="96" t="str">
        <f>Assumptions!B3</f>
        <v>Base</v>
      </c>
      <c r="C3" s="96"/>
      <c r="D3" s="96"/>
      <c r="E3" s="96"/>
      <c r="F3" s="96"/>
      <c r="G3" s="96"/>
      <c r="H3" s="96"/>
      <c r="I3" s="96"/>
    </row>
    <row r="4" ht="24.0" customHeight="1">
      <c r="A4" s="96" t="s">
        <v>3</v>
      </c>
      <c r="B4" s="97">
        <f>Assumptions!B4</f>
        <v>46320</v>
      </c>
      <c r="C4" s="96"/>
      <c r="D4" s="96"/>
      <c r="E4" s="96"/>
      <c r="F4" s="96"/>
      <c r="G4" s="96"/>
      <c r="H4" s="96"/>
      <c r="I4" s="96"/>
    </row>
    <row r="5" ht="24.0" customHeight="1">
      <c r="A5" s="96"/>
      <c r="B5" s="96"/>
      <c r="C5" s="96"/>
      <c r="D5" s="96"/>
      <c r="E5" s="96"/>
      <c r="F5" s="96"/>
      <c r="G5" s="96"/>
      <c r="H5" s="96"/>
      <c r="I5" s="96"/>
    </row>
    <row r="6" ht="45.0" customHeight="1">
      <c r="A6" s="102" t="s">
        <v>912</v>
      </c>
      <c r="B6" s="202" t="s">
        <v>913</v>
      </c>
      <c r="C6" s="102" t="s">
        <v>914</v>
      </c>
      <c r="D6" s="102" t="s">
        <v>915</v>
      </c>
      <c r="E6" s="102" t="s">
        <v>916</v>
      </c>
      <c r="F6" s="102" t="s">
        <v>917</v>
      </c>
      <c r="G6" s="102" t="s">
        <v>918</v>
      </c>
      <c r="H6" s="102" t="s">
        <v>919</v>
      </c>
      <c r="I6" s="102" t="s">
        <v>920</v>
      </c>
    </row>
    <row r="7" ht="66.0" customHeight="1">
      <c r="A7" s="96" t="s">
        <v>921</v>
      </c>
      <c r="B7" s="101">
        <v>99500.0</v>
      </c>
      <c r="C7" s="110">
        <f>B7</f>
        <v>99500</v>
      </c>
      <c r="D7" s="203">
        <f>Assumptions!$B$5</f>
        <v>0.21</v>
      </c>
      <c r="E7" s="203">
        <v>0.0</v>
      </c>
      <c r="F7" s="101">
        <f t="shared" ref="F7:F12" si="1">B7*(1-E7)</f>
        <v>99500</v>
      </c>
      <c r="G7" s="101">
        <f t="shared" ref="G7:G12" si="2">IF(ISNUMBER(C7),MAX(F7-C7,0)*D7,"")</f>
        <v>0</v>
      </c>
      <c r="H7" s="101">
        <f t="shared" ref="H7:H12" si="3">IF(ISNUMBER(G7),F7-G7,"")</f>
        <v>99500</v>
      </c>
      <c r="I7" s="96" t="s">
        <v>922</v>
      </c>
    </row>
    <row r="8" ht="66.0" customHeight="1">
      <c r="A8" s="96" t="s">
        <v>923</v>
      </c>
      <c r="B8" s="101">
        <f>80000*$B$69</f>
        <v>69057.70807</v>
      </c>
      <c r="C8" s="204">
        <v>0.0</v>
      </c>
      <c r="D8" s="203">
        <f>Assumptions!$B$5</f>
        <v>0.21</v>
      </c>
      <c r="E8" s="203">
        <v>0.0</v>
      </c>
      <c r="F8" s="101">
        <f t="shared" si="1"/>
        <v>69057.70807</v>
      </c>
      <c r="G8" s="101">
        <f t="shared" si="2"/>
        <v>14502.11869</v>
      </c>
      <c r="H8" s="101">
        <f t="shared" si="3"/>
        <v>54555.58937</v>
      </c>
      <c r="I8" s="96" t="s">
        <v>924</v>
      </c>
    </row>
    <row r="9" ht="66.0" customHeight="1">
      <c r="A9" s="96" t="s">
        <v>925</v>
      </c>
      <c r="B9" s="101">
        <v>7063.0</v>
      </c>
      <c r="C9" s="110">
        <f>B9</f>
        <v>7063</v>
      </c>
      <c r="D9" s="203">
        <f>Assumptions!$B$5</f>
        <v>0.21</v>
      </c>
      <c r="E9" s="203">
        <v>0.0</v>
      </c>
      <c r="F9" s="101">
        <f t="shared" si="1"/>
        <v>7063</v>
      </c>
      <c r="G9" s="101">
        <f t="shared" si="2"/>
        <v>0</v>
      </c>
      <c r="H9" s="101">
        <f t="shared" si="3"/>
        <v>7063</v>
      </c>
      <c r="I9" s="96" t="s">
        <v>926</v>
      </c>
    </row>
    <row r="10" ht="66.0" customHeight="1">
      <c r="A10" s="96" t="s">
        <v>927</v>
      </c>
      <c r="B10" s="101">
        <f>14126*$B$69</f>
        <v>12193.8648</v>
      </c>
      <c r="C10" s="204">
        <v>0.0</v>
      </c>
      <c r="D10" s="203">
        <f>Assumptions!$B$5</f>
        <v>0.21</v>
      </c>
      <c r="E10" s="203">
        <v>0.0</v>
      </c>
      <c r="F10" s="101">
        <f t="shared" si="1"/>
        <v>12193.8648</v>
      </c>
      <c r="G10" s="101">
        <f t="shared" si="2"/>
        <v>2560.711608</v>
      </c>
      <c r="H10" s="101">
        <f t="shared" si="3"/>
        <v>9633.153193</v>
      </c>
      <c r="I10" s="96" t="s">
        <v>928</v>
      </c>
    </row>
    <row r="11" ht="66.0" customHeight="1">
      <c r="A11" s="96" t="s">
        <v>929</v>
      </c>
      <c r="B11" s="101">
        <v>124259.0</v>
      </c>
      <c r="C11" s="110">
        <v>47642.0</v>
      </c>
      <c r="D11" s="203">
        <f>Assumptions!$B$5</f>
        <v>0.21</v>
      </c>
      <c r="E11" s="203">
        <f>Assumptions!B202</f>
        <v>0.05</v>
      </c>
      <c r="F11" s="101">
        <f t="shared" si="1"/>
        <v>118046.05</v>
      </c>
      <c r="G11" s="101">
        <f t="shared" si="2"/>
        <v>14784.8505</v>
      </c>
      <c r="H11" s="101">
        <f t="shared" si="3"/>
        <v>103261.1995</v>
      </c>
      <c r="I11" s="96" t="s">
        <v>930</v>
      </c>
    </row>
    <row r="12" ht="66.0" customHeight="1">
      <c r="A12" s="96" t="s">
        <v>931</v>
      </c>
      <c r="B12" s="101">
        <v>7202.0</v>
      </c>
      <c r="C12" s="110">
        <f>B12</f>
        <v>7202</v>
      </c>
      <c r="D12" s="203">
        <f>Assumptions!$B$5</f>
        <v>0.21</v>
      </c>
      <c r="E12" s="203">
        <v>0.0</v>
      </c>
      <c r="F12" s="101">
        <f t="shared" si="1"/>
        <v>7202</v>
      </c>
      <c r="G12" s="101">
        <f t="shared" si="2"/>
        <v>0</v>
      </c>
      <c r="H12" s="101">
        <f t="shared" si="3"/>
        <v>7202</v>
      </c>
      <c r="I12" s="96" t="s">
        <v>932</v>
      </c>
    </row>
    <row r="13" ht="24.0" customHeight="1">
      <c r="A13" s="96"/>
      <c r="B13" s="101"/>
      <c r="C13" s="101"/>
      <c r="D13" s="101"/>
      <c r="E13" s="101"/>
      <c r="F13" s="101"/>
      <c r="G13" s="101"/>
      <c r="H13" s="101"/>
      <c r="I13" s="96"/>
    </row>
    <row r="14" ht="52.5" customHeight="1">
      <c r="A14" s="105" t="s">
        <v>933</v>
      </c>
      <c r="B14" s="108">
        <f>SUM(B7:B12)</f>
        <v>319275.5729</v>
      </c>
      <c r="C14" s="108"/>
      <c r="D14" s="108"/>
      <c r="E14" s="108"/>
      <c r="F14" s="108">
        <f>SUM(F7:F12)</f>
        <v>313062.6229</v>
      </c>
      <c r="G14" s="108">
        <f t="shared" ref="G14:H14" si="4">IF(COUNT(G7:G12)=6,SUM(G7:G12),"")</f>
        <v>31847.6808</v>
      </c>
      <c r="H14" s="108">
        <f t="shared" si="4"/>
        <v>281214.9421</v>
      </c>
      <c r="I14" s="96" t="s">
        <v>934</v>
      </c>
    </row>
    <row r="15" ht="24.0" customHeight="1">
      <c r="A15" s="96"/>
      <c r="B15" s="101"/>
      <c r="C15" s="96"/>
      <c r="D15" s="96"/>
      <c r="E15" s="96"/>
      <c r="F15" s="96"/>
      <c r="G15" s="96"/>
      <c r="H15" s="96"/>
      <c r="I15" s="96"/>
    </row>
    <row r="16" ht="24.0" customHeight="1">
      <c r="A16" s="47" t="s">
        <v>935</v>
      </c>
      <c r="B16" s="47" t="s">
        <v>919</v>
      </c>
      <c r="C16" s="47" t="s">
        <v>936</v>
      </c>
      <c r="D16" s="47"/>
      <c r="E16" s="47"/>
      <c r="F16" s="47"/>
      <c r="G16" s="47"/>
      <c r="H16" s="47"/>
      <c r="I16" s="47"/>
    </row>
    <row r="17" ht="31.5" customHeight="1">
      <c r="A17" s="96" t="s">
        <v>937</v>
      </c>
      <c r="B17" s="101">
        <f>SUM(F7:F12)</f>
        <v>313062.6229</v>
      </c>
      <c r="C17" s="96" t="s">
        <v>938</v>
      </c>
    </row>
    <row r="18" ht="31.5" customHeight="1">
      <c r="A18" s="96" t="s">
        <v>939</v>
      </c>
      <c r="B18" s="101">
        <f>SUMPRODUCT(F7:F12,1-D7:D12)</f>
        <v>247319.4721</v>
      </c>
      <c r="C18" s="96" t="s">
        <v>940</v>
      </c>
    </row>
    <row r="19" ht="24.0" customHeight="1">
      <c r="A19" s="96"/>
      <c r="B19" s="101"/>
      <c r="C19" s="96"/>
      <c r="D19" s="96"/>
      <c r="E19" s="96"/>
      <c r="F19" s="96"/>
      <c r="G19" s="96"/>
      <c r="H19" s="96"/>
      <c r="I19" s="96"/>
    </row>
    <row r="20" ht="24.0" customHeight="1">
      <c r="A20" s="47" t="s">
        <v>941</v>
      </c>
      <c r="B20" s="47" t="s">
        <v>85</v>
      </c>
      <c r="C20" s="47" t="s">
        <v>936</v>
      </c>
      <c r="D20" s="47"/>
      <c r="E20" s="47"/>
      <c r="F20" s="47"/>
      <c r="G20" s="47"/>
      <c r="H20" s="47"/>
      <c r="I20" s="47"/>
    </row>
    <row r="21" ht="31.5" customHeight="1">
      <c r="A21" s="96" t="s">
        <v>942</v>
      </c>
      <c r="B21" s="101">
        <f>120243-3789</f>
        <v>116454</v>
      </c>
      <c r="C21" s="96" t="s">
        <v>943</v>
      </c>
    </row>
    <row r="22" ht="31.5" customHeight="1">
      <c r="A22" s="96" t="s">
        <v>944</v>
      </c>
      <c r="B22" s="101">
        <f>120098-3789</f>
        <v>116309</v>
      </c>
      <c r="C22" s="96" t="s">
        <v>945</v>
      </c>
    </row>
    <row r="23" ht="31.5" customHeight="1">
      <c r="A23" s="96" t="s">
        <v>946</v>
      </c>
      <c r="B23" s="101">
        <f>B22-B21</f>
        <v>-145</v>
      </c>
      <c r="C23" s="96" t="s">
        <v>947</v>
      </c>
    </row>
    <row r="24" ht="24.0" customHeight="1">
      <c r="A24" s="96"/>
      <c r="B24" s="101"/>
      <c r="C24" s="96"/>
      <c r="D24" s="96"/>
      <c r="E24" s="96"/>
      <c r="F24" s="96"/>
      <c r="G24" s="96"/>
      <c r="H24" s="96"/>
      <c r="I24" s="96"/>
    </row>
    <row r="25" ht="24.0" customHeight="1">
      <c r="A25" s="96"/>
      <c r="B25" s="101"/>
      <c r="C25" s="96"/>
      <c r="D25" s="96"/>
      <c r="E25" s="96"/>
      <c r="F25" s="96"/>
      <c r="G25" s="96"/>
      <c r="H25" s="96"/>
      <c r="I25" s="96"/>
    </row>
    <row r="26" ht="24.0" customHeight="1">
      <c r="A26" s="205" t="s">
        <v>948</v>
      </c>
      <c r="B26" s="47" t="s">
        <v>85</v>
      </c>
      <c r="C26" s="47" t="s">
        <v>949</v>
      </c>
      <c r="D26" s="47"/>
      <c r="E26" s="47"/>
      <c r="F26" s="47"/>
      <c r="G26" s="47"/>
      <c r="H26" s="47"/>
      <c r="I26" s="47"/>
    </row>
    <row r="27" ht="31.5" customHeight="1">
      <c r="A27" s="96" t="s">
        <v>950</v>
      </c>
      <c r="B27" s="101">
        <f>'Balance sheet'!I8</f>
        <v>55911</v>
      </c>
      <c r="C27" s="96" t="s">
        <v>951</v>
      </c>
    </row>
    <row r="28" ht="31.5" customHeight="1">
      <c r="A28" s="96" t="s">
        <v>952</v>
      </c>
      <c r="B28" s="101">
        <f>-'Sources and basis'!C87</f>
        <v>-5200</v>
      </c>
      <c r="C28" s="96" t="s">
        <v>953</v>
      </c>
    </row>
    <row r="29" ht="31.5" customHeight="1">
      <c r="A29" s="95" t="s">
        <v>954</v>
      </c>
      <c r="B29" s="110">
        <f>Valuation!B37-Valuation!B38</f>
        <v>-17815.26242</v>
      </c>
      <c r="C29" s="111" t="s">
        <v>955</v>
      </c>
    </row>
    <row r="30" ht="31.5" customHeight="1">
      <c r="A30" s="96" t="s">
        <v>956</v>
      </c>
      <c r="B30" s="203">
        <v>0.02</v>
      </c>
      <c r="C30" s="96" t="s">
        <v>957</v>
      </c>
    </row>
    <row r="31" ht="31.5" customHeight="1">
      <c r="A31" s="96" t="s">
        <v>486</v>
      </c>
      <c r="B31" s="101">
        <f>B30*'Historical base'!F16</f>
        <v>8917.32</v>
      </c>
      <c r="C31" s="96" t="s">
        <v>958</v>
      </c>
    </row>
    <row r="32" ht="31.5" customHeight="1">
      <c r="A32" s="105" t="s">
        <v>959</v>
      </c>
      <c r="B32" s="108">
        <f>MAX(B27+B28-B31,0)</f>
        <v>41793.68</v>
      </c>
      <c r="C32" s="206" t="s">
        <v>960</v>
      </c>
    </row>
    <row r="33" ht="31.5" customHeight="1">
      <c r="A33" s="105" t="s">
        <v>961</v>
      </c>
      <c r="B33" s="108">
        <f>MAX(B27+B28+B29+B70-B71-B72+B73-B31,0)</f>
        <v>26051.53008</v>
      </c>
      <c r="C33" s="206" t="s">
        <v>962</v>
      </c>
    </row>
    <row r="34" ht="24.0" customHeight="1">
      <c r="A34" s="96"/>
      <c r="B34" s="101"/>
      <c r="C34" s="96"/>
      <c r="D34" s="96"/>
      <c r="E34" s="96"/>
      <c r="F34" s="96"/>
      <c r="G34" s="96"/>
      <c r="H34" s="96"/>
      <c r="I34" s="96"/>
    </row>
    <row r="35" ht="31.5" customHeight="1">
      <c r="A35" s="96" t="s">
        <v>963</v>
      </c>
      <c r="B35" s="101">
        <f>'Sources and basis'!C85</f>
        <v>17356</v>
      </c>
      <c r="C35" s="96" t="s">
        <v>964</v>
      </c>
    </row>
    <row r="36" ht="31.5" customHeight="1">
      <c r="A36" s="96" t="s">
        <v>965</v>
      </c>
      <c r="B36" s="101">
        <f>'Sources and basis'!C87</f>
        <v>5200</v>
      </c>
      <c r="C36" s="96" t="s">
        <v>966</v>
      </c>
    </row>
    <row r="37" ht="31.5" customHeight="1">
      <c r="A37" s="105" t="s">
        <v>967</v>
      </c>
      <c r="B37" s="108">
        <f>B35-B36</f>
        <v>12156</v>
      </c>
      <c r="C37" s="105" t="s">
        <v>968</v>
      </c>
    </row>
    <row r="38" ht="24.0" customHeight="1">
      <c r="A38" s="96"/>
      <c r="B38" s="101"/>
      <c r="C38" s="96"/>
      <c r="D38" s="96"/>
      <c r="E38" s="96"/>
      <c r="F38" s="96"/>
      <c r="G38" s="96"/>
      <c r="H38" s="96"/>
      <c r="I38" s="96"/>
    </row>
    <row r="39" ht="24.0" customHeight="1">
      <c r="A39" s="47" t="s">
        <v>969</v>
      </c>
      <c r="B39" s="47" t="s">
        <v>85</v>
      </c>
      <c r="C39" s="47" t="s">
        <v>6</v>
      </c>
      <c r="D39" s="47"/>
      <c r="E39" s="47"/>
      <c r="F39" s="47"/>
      <c r="G39" s="47"/>
      <c r="H39" s="47"/>
      <c r="I39" s="47"/>
    </row>
    <row r="40" ht="31.5" customHeight="1">
      <c r="A40" s="105" t="s">
        <v>970</v>
      </c>
      <c r="B40" s="108">
        <f>B32+B17</f>
        <v>354856.3029</v>
      </c>
      <c r="C40" s="206" t="s">
        <v>971</v>
      </c>
    </row>
    <row r="41" ht="31.5" customHeight="1">
      <c r="A41" s="105" t="s">
        <v>972</v>
      </c>
      <c r="B41" s="108">
        <f>B32+B18</f>
        <v>289113.1521</v>
      </c>
      <c r="C41" s="206" t="s">
        <v>973</v>
      </c>
    </row>
    <row r="42" ht="24.0" customHeight="1">
      <c r="A42" s="96"/>
      <c r="B42" s="101"/>
      <c r="C42" s="96"/>
      <c r="D42" s="96"/>
      <c r="E42" s="96"/>
      <c r="F42" s="96"/>
      <c r="G42" s="96"/>
      <c r="H42" s="96"/>
      <c r="I42" s="96"/>
    </row>
    <row r="43" ht="24.0" customHeight="1">
      <c r="A43" s="96"/>
      <c r="B43" s="101"/>
      <c r="C43" s="96"/>
      <c r="D43" s="96"/>
      <c r="E43" s="96"/>
      <c r="F43" s="96"/>
      <c r="G43" s="96"/>
      <c r="H43" s="96"/>
      <c r="I43" s="96"/>
    </row>
    <row r="44" ht="24.0" customHeight="1">
      <c r="A44" s="47" t="s">
        <v>974</v>
      </c>
      <c r="B44" s="47" t="s">
        <v>975</v>
      </c>
      <c r="C44" s="47" t="s">
        <v>6</v>
      </c>
      <c r="D44" s="47"/>
      <c r="E44" s="47"/>
      <c r="F44" s="47"/>
      <c r="G44" s="47"/>
      <c r="H44" s="47"/>
      <c r="I44" s="47"/>
    </row>
    <row r="45" ht="31.5" customHeight="1">
      <c r="A45" s="96" t="s">
        <v>976</v>
      </c>
      <c r="B45" s="110"/>
      <c r="C45" s="96" t="s">
        <v>977</v>
      </c>
    </row>
    <row r="46" ht="31.5" customHeight="1">
      <c r="A46" s="96" t="s">
        <v>978</v>
      </c>
      <c r="B46" s="110"/>
      <c r="C46" s="96" t="s">
        <v>979</v>
      </c>
    </row>
    <row r="47" ht="24.0" customHeight="1">
      <c r="A47" s="96"/>
      <c r="B47" s="101"/>
      <c r="C47" s="96"/>
      <c r="D47" s="96"/>
      <c r="E47" s="96"/>
      <c r="F47" s="96"/>
      <c r="G47" s="96"/>
      <c r="H47" s="96"/>
      <c r="I47" s="96"/>
    </row>
    <row r="48" ht="24.0" customHeight="1">
      <c r="A48" s="96"/>
      <c r="B48" s="101"/>
      <c r="C48" s="96"/>
      <c r="D48" s="96"/>
      <c r="E48" s="96"/>
      <c r="F48" s="96"/>
      <c r="G48" s="96"/>
      <c r="H48" s="96"/>
      <c r="I48" s="96"/>
    </row>
    <row r="49" ht="24.0" customHeight="1">
      <c r="A49" s="96" t="s">
        <v>980</v>
      </c>
      <c r="B49" s="101" t="s">
        <v>981</v>
      </c>
    </row>
    <row r="50" ht="33.75" customHeight="1">
      <c r="A50" s="96" t="s">
        <v>982</v>
      </c>
    </row>
    <row r="51" ht="33.75" customHeight="1">
      <c r="A51" s="96" t="s">
        <v>983</v>
      </c>
    </row>
    <row r="52" ht="24.0" customHeight="1">
      <c r="A52" s="96"/>
      <c r="B52" s="96"/>
      <c r="C52" s="96"/>
      <c r="D52" s="96"/>
      <c r="E52" s="96"/>
      <c r="F52" s="96"/>
      <c r="G52" s="96"/>
      <c r="H52" s="96"/>
      <c r="I52" s="96"/>
    </row>
    <row r="53" ht="24.0" customHeight="1">
      <c r="A53" s="96"/>
      <c r="B53" s="96"/>
      <c r="C53" s="96"/>
      <c r="D53" s="96"/>
      <c r="E53" s="96"/>
      <c r="F53" s="96"/>
      <c r="G53" s="96"/>
      <c r="H53" s="96"/>
      <c r="I53" s="96"/>
    </row>
    <row r="54" ht="21.0" customHeight="1">
      <c r="A54" s="80" t="s">
        <v>984</v>
      </c>
      <c r="I54" s="96"/>
    </row>
    <row r="55" ht="21.0" customHeight="1">
      <c r="A55" s="81" t="s">
        <v>985</v>
      </c>
      <c r="B55" s="119">
        <f>'Sources and basis'!B102</f>
        <v>20000</v>
      </c>
      <c r="C55" s="207" t="s">
        <v>986</v>
      </c>
      <c r="D55" s="119"/>
      <c r="E55" s="119"/>
      <c r="F55" s="83"/>
      <c r="G55" s="83"/>
      <c r="H55" s="83"/>
      <c r="I55" s="96"/>
    </row>
    <row r="56" ht="21.0" customHeight="1">
      <c r="A56" s="81" t="s">
        <v>987</v>
      </c>
      <c r="B56" s="87">
        <f>Assumptions!B229</f>
        <v>0.5</v>
      </c>
      <c r="C56" s="207" t="s">
        <v>988</v>
      </c>
      <c r="D56" s="119"/>
      <c r="E56" s="119"/>
      <c r="F56" s="83"/>
      <c r="G56" s="83"/>
      <c r="H56" s="83"/>
    </row>
    <row r="57" ht="21.0" customHeight="1">
      <c r="A57" s="81" t="s">
        <v>989</v>
      </c>
      <c r="B57" s="119">
        <f>B55*B56</f>
        <v>10000</v>
      </c>
      <c r="C57" s="207" t="s">
        <v>990</v>
      </c>
      <c r="D57" s="119"/>
      <c r="E57" s="119"/>
      <c r="F57" s="83"/>
      <c r="G57" s="83"/>
      <c r="H57" s="83"/>
    </row>
    <row r="58" ht="21.0" customHeight="1">
      <c r="A58" s="81" t="s">
        <v>991</v>
      </c>
      <c r="B58" s="208" t="s">
        <v>50</v>
      </c>
      <c r="C58" s="208" t="s">
        <v>51</v>
      </c>
      <c r="D58" s="208" t="s">
        <v>52</v>
      </c>
      <c r="E58" s="208" t="s">
        <v>53</v>
      </c>
      <c r="F58" s="83"/>
      <c r="G58" s="83"/>
      <c r="H58" s="83"/>
    </row>
    <row r="59" ht="21.0" customHeight="1">
      <c r="A59" s="81" t="s">
        <v>992</v>
      </c>
      <c r="B59" s="119">
        <f t="shared" ref="B59:E59" si="5">$B$57/4</f>
        <v>2500</v>
      </c>
      <c r="C59" s="119">
        <f t="shared" si="5"/>
        <v>2500</v>
      </c>
      <c r="D59" s="119">
        <f t="shared" si="5"/>
        <v>2500</v>
      </c>
      <c r="E59" s="119">
        <f t="shared" si="5"/>
        <v>2500</v>
      </c>
      <c r="F59" s="81" t="s">
        <v>993</v>
      </c>
      <c r="G59" s="83"/>
      <c r="H59" s="83"/>
    </row>
    <row r="60" ht="21.0" customHeight="1">
      <c r="A60" s="83"/>
      <c r="B60" s="83"/>
      <c r="C60" s="83"/>
      <c r="D60" s="83"/>
      <c r="E60" s="83"/>
      <c r="F60" s="83"/>
      <c r="G60" s="83"/>
      <c r="H60" s="83"/>
    </row>
    <row r="61" ht="36.0" customHeight="1">
      <c r="A61" s="81" t="s">
        <v>994</v>
      </c>
    </row>
    <row r="62" ht="36.0" customHeight="1">
      <c r="A62" s="84" t="s">
        <v>995</v>
      </c>
    </row>
    <row r="65">
      <c r="A65" s="182" t="s">
        <v>996</v>
      </c>
      <c r="B65" s="182"/>
      <c r="C65" s="182"/>
    </row>
    <row r="66">
      <c r="A66" s="183" t="s">
        <v>997</v>
      </c>
      <c r="B66" s="183">
        <v>170.86</v>
      </c>
      <c r="C66" s="183" t="s">
        <v>998</v>
      </c>
    </row>
    <row r="67">
      <c r="A67" s="183" t="s">
        <v>999</v>
      </c>
      <c r="B67" s="183">
        <v>147.49</v>
      </c>
      <c r="C67" s="183" t="s">
        <v>1000</v>
      </c>
    </row>
    <row r="68">
      <c r="A68" s="183" t="s">
        <v>1001</v>
      </c>
      <c r="B68" s="183" t="s">
        <v>1002</v>
      </c>
      <c r="C68" s="183" t="s">
        <v>1003</v>
      </c>
    </row>
    <row r="69">
      <c r="A69" s="183" t="s">
        <v>1004</v>
      </c>
      <c r="B69" s="183">
        <f>B67/B66</f>
        <v>0.8632213508</v>
      </c>
      <c r="C69" s="183" t="s">
        <v>1005</v>
      </c>
    </row>
    <row r="70">
      <c r="A70" s="183" t="s">
        <v>1006</v>
      </c>
      <c r="B70" s="183">
        <v>5000.0</v>
      </c>
      <c r="C70" s="183" t="s">
        <v>1007</v>
      </c>
    </row>
    <row r="71">
      <c r="A71" s="183" t="s">
        <v>1008</v>
      </c>
      <c r="B71" s="183">
        <f>'Discount rate'!B33/20*12.15</f>
        <v>233.8875</v>
      </c>
      <c r="C71" s="183" t="s">
        <v>1009</v>
      </c>
    </row>
    <row r="72">
      <c r="A72" s="183" t="s">
        <v>1010</v>
      </c>
      <c r="B72" s="183">
        <v>2693.0</v>
      </c>
      <c r="C72" s="183" t="s">
        <v>1011</v>
      </c>
    </row>
    <row r="73">
      <c r="A73" s="183" t="s">
        <v>1012</v>
      </c>
      <c r="B73" s="183">
        <v>0.0</v>
      </c>
      <c r="C73" s="183" t="s">
        <v>1013</v>
      </c>
    </row>
  </sheetData>
  <mergeCells count="27">
    <mergeCell ref="A1:I1"/>
    <mergeCell ref="A2:I2"/>
    <mergeCell ref="C17:I17"/>
    <mergeCell ref="C18:I18"/>
    <mergeCell ref="C21:I21"/>
    <mergeCell ref="C22:I22"/>
    <mergeCell ref="C23:I23"/>
    <mergeCell ref="C27:I27"/>
    <mergeCell ref="C28:I28"/>
    <mergeCell ref="C29:I29"/>
    <mergeCell ref="C30:I30"/>
    <mergeCell ref="C31:I31"/>
    <mergeCell ref="C32:I32"/>
    <mergeCell ref="C33:I33"/>
    <mergeCell ref="B49:I49"/>
    <mergeCell ref="A50:I50"/>
    <mergeCell ref="A51:I51"/>
    <mergeCell ref="A54:H54"/>
    <mergeCell ref="A61:H61"/>
    <mergeCell ref="A62:H62"/>
    <mergeCell ref="C35:I35"/>
    <mergeCell ref="C36:I36"/>
    <mergeCell ref="C37:I37"/>
    <mergeCell ref="C40:I40"/>
    <mergeCell ref="C41:I41"/>
    <mergeCell ref="C45:I45"/>
    <mergeCell ref="C46:I46"/>
  </mergeCells>
  <dataValidations>
    <dataValidation type="decimal" operator="greaterThanOrEqual" allowBlank="1" showDropDown="1" showInputMessage="1" showErrorMessage="1" prompt="Tax basis or explicitly labelled proxy, USD millions. Leave blank if unresolved." sqref="C7:C12">
      <formula1>0.0</formula1>
    </dataValidation>
    <dataValidation type="decimal" allowBlank="1" showDropDown="1" showErrorMessage="1" sqref="D7:E12">
      <formula1>0.0</formula1>
      <formula2>1.0</formula2>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42.0"/>
    <col customWidth="1" min="2" max="7" width="14.88"/>
  </cols>
  <sheetData>
    <row r="1" ht="19.5" customHeight="1">
      <c r="A1" s="1" t="s">
        <v>1014</v>
      </c>
    </row>
    <row r="2" ht="34.5" customHeight="1">
      <c r="A2" s="55" t="s">
        <v>1015</v>
      </c>
    </row>
    <row r="3" ht="19.5" customHeight="1">
      <c r="A3" s="3" t="s">
        <v>263</v>
      </c>
      <c r="B3" s="4" t="str">
        <f>Assumptions!B3</f>
        <v>Base</v>
      </c>
      <c r="C3" s="3"/>
      <c r="D3" s="3"/>
      <c r="E3" s="3"/>
      <c r="F3" s="3"/>
      <c r="G3" s="3"/>
    </row>
    <row r="4" ht="19.5" customHeight="1">
      <c r="A4" s="3"/>
      <c r="B4" s="3"/>
      <c r="C4" s="3"/>
      <c r="D4" s="3"/>
      <c r="E4" s="3"/>
      <c r="F4" s="3"/>
      <c r="G4" s="3"/>
    </row>
    <row r="5" ht="19.5" customHeight="1">
      <c r="A5" s="3"/>
      <c r="B5" s="3"/>
      <c r="C5" s="3"/>
      <c r="D5" s="3"/>
      <c r="E5" s="3"/>
      <c r="F5" s="3"/>
      <c r="G5" s="3"/>
    </row>
    <row r="6" ht="19.5" customHeight="1">
      <c r="A6" s="6" t="s">
        <v>1016</v>
      </c>
      <c r="B6" s="6" t="s">
        <v>1017</v>
      </c>
      <c r="C6" s="6" t="s">
        <v>1018</v>
      </c>
      <c r="D6" s="6" t="s">
        <v>1019</v>
      </c>
      <c r="E6" s="6" t="s">
        <v>1020</v>
      </c>
      <c r="F6" s="6" t="s">
        <v>340</v>
      </c>
      <c r="G6" s="6"/>
    </row>
    <row r="7" ht="19.5" customHeight="1">
      <c r="A7" s="3"/>
      <c r="B7" s="3"/>
      <c r="C7" s="3"/>
      <c r="D7" s="3"/>
      <c r="E7" s="3"/>
      <c r="F7" s="3"/>
      <c r="G7" s="3"/>
    </row>
    <row r="8" ht="19.5" customHeight="1">
      <c r="A8" s="3" t="s">
        <v>348</v>
      </c>
      <c r="B8" s="4">
        <f>'Revenue breakdown'!C8</f>
        <v>198084</v>
      </c>
      <c r="C8" s="4">
        <f>'Revenue breakdown'!G8</f>
        <v>224532</v>
      </c>
      <c r="D8" s="4">
        <f>SUM('Revenue breakdown'!D8:E8)</f>
        <v>104892</v>
      </c>
      <c r="E8" s="4">
        <f>SUM('Revenue breakdown'!H8:I8)</f>
        <v>123670</v>
      </c>
      <c r="F8" s="21">
        <f t="shared" ref="F8:F16" si="1">C8-D8+E8</f>
        <v>243310</v>
      </c>
      <c r="G8" s="3"/>
    </row>
    <row r="9" ht="19.5" customHeight="1">
      <c r="A9" s="3" t="s">
        <v>349</v>
      </c>
      <c r="B9" s="4">
        <f>'Revenue breakdown'!C9</f>
        <v>36147</v>
      </c>
      <c r="C9" s="4">
        <f>'Revenue breakdown'!G9</f>
        <v>40367</v>
      </c>
      <c r="D9" s="4">
        <f>SUM('Revenue breakdown'!D9:E9)</f>
        <v>18723</v>
      </c>
      <c r="E9" s="4">
        <f>SUM('Revenue breakdown'!H9:I9)</f>
        <v>20938</v>
      </c>
      <c r="F9" s="21">
        <f t="shared" si="1"/>
        <v>42582</v>
      </c>
      <c r="G9" s="3"/>
    </row>
    <row r="10" ht="19.5" customHeight="1">
      <c r="A10" s="3" t="s">
        <v>350</v>
      </c>
      <c r="B10" s="4">
        <f>'Revenue breakdown'!C10</f>
        <v>30359</v>
      </c>
      <c r="C10" s="4">
        <f>'Revenue breakdown'!G10</f>
        <v>29792</v>
      </c>
      <c r="D10" s="4">
        <f>SUM('Revenue breakdown'!D10:E10)</f>
        <v>14610</v>
      </c>
      <c r="E10" s="4">
        <f>SUM('Revenue breakdown'!H10:I10)</f>
        <v>14274</v>
      </c>
      <c r="F10" s="21">
        <f t="shared" si="1"/>
        <v>29456</v>
      </c>
      <c r="G10" s="3"/>
    </row>
    <row r="11" ht="19.5" customHeight="1">
      <c r="A11" s="3" t="s">
        <v>1021</v>
      </c>
      <c r="B11" s="4">
        <f>'Revenue breakdown'!C12</f>
        <v>40340</v>
      </c>
      <c r="C11" s="4">
        <f>'Revenue breakdown'!G12</f>
        <v>48030</v>
      </c>
      <c r="D11" s="4">
        <f>SUM('Revenue breakdown'!D12:E12)</f>
        <v>21582</v>
      </c>
      <c r="E11" s="4">
        <f>SUM('Revenue breakdown'!H12:I12)</f>
        <v>25295</v>
      </c>
      <c r="F11" s="21">
        <f t="shared" si="1"/>
        <v>51743</v>
      </c>
      <c r="G11" s="3"/>
    </row>
    <row r="12" ht="19.5" customHeight="1">
      <c r="A12" s="3" t="s">
        <v>276</v>
      </c>
      <c r="B12" s="4">
        <f>'Revenue breakdown'!C13</f>
        <v>304930</v>
      </c>
      <c r="C12" s="4">
        <f>'Revenue breakdown'!G13</f>
        <v>342721</v>
      </c>
      <c r="D12" s="4">
        <f>SUM('Revenue breakdown'!D13:E13)</f>
        <v>159807</v>
      </c>
      <c r="E12" s="4">
        <f>SUM('Revenue breakdown'!H13:I13)</f>
        <v>184177</v>
      </c>
      <c r="F12" s="21">
        <f t="shared" si="1"/>
        <v>367091</v>
      </c>
      <c r="G12" s="3"/>
    </row>
    <row r="13" ht="19.5" customHeight="1">
      <c r="A13" s="3" t="s">
        <v>278</v>
      </c>
      <c r="B13" s="4">
        <f>'Revenue breakdown'!C16</f>
        <v>43229</v>
      </c>
      <c r="C13" s="4">
        <f>'Revenue breakdown'!G16</f>
        <v>58705</v>
      </c>
      <c r="D13" s="4">
        <f>SUM('Revenue breakdown'!D16:E16)</f>
        <v>25884</v>
      </c>
      <c r="E13" s="4">
        <f>SUM('Revenue breakdown'!H16:I16)</f>
        <v>44796</v>
      </c>
      <c r="F13" s="21">
        <f t="shared" si="1"/>
        <v>77617</v>
      </c>
      <c r="G13" s="3"/>
    </row>
    <row r="14" ht="19.5" customHeight="1">
      <c r="A14" s="3" t="s">
        <v>280</v>
      </c>
      <c r="B14" s="4">
        <f>'Revenue breakdown'!C17</f>
        <v>1648</v>
      </c>
      <c r="C14" s="4">
        <f>'Revenue breakdown'!G17</f>
        <v>1537</v>
      </c>
      <c r="D14" s="4">
        <f>SUM('Revenue breakdown'!D17:E17)</f>
        <v>823</v>
      </c>
      <c r="E14" s="4">
        <f>SUM('Revenue breakdown'!H17:I17)</f>
        <v>793</v>
      </c>
      <c r="F14" s="21">
        <f t="shared" si="1"/>
        <v>1507</v>
      </c>
      <c r="G14" s="3"/>
    </row>
    <row r="15" ht="19.5" customHeight="1">
      <c r="A15" s="3" t="s">
        <v>1022</v>
      </c>
      <c r="B15" s="4">
        <f>'Revenue breakdown'!C18</f>
        <v>211</v>
      </c>
      <c r="C15" s="4">
        <f>'Revenue breakdown'!G18</f>
        <v>-127</v>
      </c>
      <c r="D15" s="4">
        <f>SUM('Revenue breakdown'!D18:E18)</f>
        <v>148</v>
      </c>
      <c r="E15" s="4">
        <f>SUM('Revenue breakdown'!H18:I18)</f>
        <v>-74</v>
      </c>
      <c r="F15" s="21">
        <f t="shared" si="1"/>
        <v>-349</v>
      </c>
      <c r="G15" s="3"/>
    </row>
    <row r="16" ht="19.5" customHeight="1">
      <c r="A16" s="22" t="s">
        <v>1023</v>
      </c>
      <c r="B16" s="112">
        <f>'Income statement'!C8</f>
        <v>350018</v>
      </c>
      <c r="C16" s="112">
        <f>'Income statement'!G8</f>
        <v>402836</v>
      </c>
      <c r="D16" s="112">
        <f>SUM('Income statement'!D8:E8)</f>
        <v>186662</v>
      </c>
      <c r="E16" s="112">
        <f>SUM('Income statement'!H8:I8)</f>
        <v>229692</v>
      </c>
      <c r="F16" s="113">
        <f t="shared" si="1"/>
        <v>445866</v>
      </c>
      <c r="G16" s="22"/>
    </row>
    <row r="17" ht="19.5" customHeight="1">
      <c r="A17" s="3" t="s">
        <v>1024</v>
      </c>
      <c r="B17" s="139">
        <f t="shared" ref="B17:F17" si="2">SUM(B12:B15)-B16</f>
        <v>0</v>
      </c>
      <c r="C17" s="139">
        <f t="shared" si="2"/>
        <v>0</v>
      </c>
      <c r="D17" s="139">
        <f t="shared" si="2"/>
        <v>0</v>
      </c>
      <c r="E17" s="139">
        <f t="shared" si="2"/>
        <v>0</v>
      </c>
      <c r="F17" s="139">
        <f t="shared" si="2"/>
        <v>0</v>
      </c>
      <c r="G17" s="3"/>
    </row>
    <row r="18" ht="19.5" customHeight="1">
      <c r="A18" s="3"/>
      <c r="B18" s="3"/>
      <c r="C18" s="3"/>
      <c r="D18" s="3"/>
      <c r="E18" s="3"/>
      <c r="F18" s="3"/>
      <c r="G18" s="3"/>
    </row>
    <row r="19" ht="19.5" customHeight="1">
      <c r="A19" s="25" t="s">
        <v>1025</v>
      </c>
      <c r="B19" s="25"/>
      <c r="C19" s="25"/>
      <c r="D19" s="25"/>
      <c r="E19" s="25"/>
      <c r="F19" s="25"/>
      <c r="G19" s="25"/>
    </row>
    <row r="20" ht="19.5" customHeight="1">
      <c r="A20" s="3" t="s">
        <v>1026</v>
      </c>
      <c r="B20" s="4">
        <f>'Segment breakdown'!C15</f>
        <v>121263</v>
      </c>
      <c r="C20" s="4">
        <f>'Segment breakdown'!G15</f>
        <v>139404</v>
      </c>
      <c r="D20" s="4">
        <f>SUM('Segment breakdown'!D15:E15)</f>
        <v>65745</v>
      </c>
      <c r="E20" s="4">
        <f>SUM('Segment breakdown'!H15:I15)</f>
        <v>80133</v>
      </c>
      <c r="F20" s="21">
        <f t="shared" ref="F20:F24" si="3">C20-D20+E20</f>
        <v>153792</v>
      </c>
      <c r="G20" s="3"/>
    </row>
    <row r="21" ht="19.5" customHeight="1">
      <c r="A21" s="3" t="s">
        <v>1027</v>
      </c>
      <c r="B21" s="4">
        <f>'Segment breakdown'!C16</f>
        <v>6112</v>
      </c>
      <c r="C21" s="4">
        <f>'Segment breakdown'!G16</f>
        <v>13910</v>
      </c>
      <c r="D21" s="4">
        <f>SUM('Segment breakdown'!D16:E16)</f>
        <v>5003</v>
      </c>
      <c r="E21" s="4">
        <f>SUM('Segment breakdown'!H16:I16)</f>
        <v>15412</v>
      </c>
      <c r="F21" s="21">
        <f t="shared" si="3"/>
        <v>24319</v>
      </c>
      <c r="G21" s="3"/>
    </row>
    <row r="22" ht="19.5" customHeight="1">
      <c r="A22" s="3" t="s">
        <v>1028</v>
      </c>
      <c r="B22" s="4">
        <f>'Segment breakdown'!C17</f>
        <v>-4444</v>
      </c>
      <c r="C22" s="4">
        <f>'Segment breakdown'!G17</f>
        <v>-7515</v>
      </c>
      <c r="D22" s="4">
        <f>SUM('Segment breakdown'!D17:E17)</f>
        <v>-2472</v>
      </c>
      <c r="E22" s="4">
        <f>SUM('Segment breakdown'!H17:I17)</f>
        <v>-3899</v>
      </c>
      <c r="F22" s="21">
        <f t="shared" si="3"/>
        <v>-8942</v>
      </c>
      <c r="G22" s="3"/>
    </row>
    <row r="23" ht="19.5" customHeight="1">
      <c r="A23" s="3" t="s">
        <v>1029</v>
      </c>
      <c r="B23" s="4">
        <f>'Segment breakdown'!C18</f>
        <v>-10541</v>
      </c>
      <c r="C23" s="4">
        <f>'Segment breakdown'!G18</f>
        <v>-16760</v>
      </c>
      <c r="D23" s="4">
        <f>SUM('Segment breakdown'!D18:E18)</f>
        <v>-6399</v>
      </c>
      <c r="E23" s="4">
        <f>SUM('Segment breakdown'!H18:I18)</f>
        <v>-11180</v>
      </c>
      <c r="F23" s="21">
        <f t="shared" si="3"/>
        <v>-21541</v>
      </c>
      <c r="G23" s="3"/>
    </row>
    <row r="24" ht="19.5" customHeight="1">
      <c r="A24" s="22" t="s">
        <v>365</v>
      </c>
      <c r="B24" s="112">
        <f>'Income statement'!C16</f>
        <v>112390</v>
      </c>
      <c r="C24" s="112">
        <f>'Income statement'!G16</f>
        <v>129039</v>
      </c>
      <c r="D24" s="112">
        <f>SUM('Income statement'!D16:E16)</f>
        <v>61877</v>
      </c>
      <c r="E24" s="112">
        <f>SUM('Income statement'!H16:I16)</f>
        <v>80466</v>
      </c>
      <c r="F24" s="113">
        <f t="shared" si="3"/>
        <v>147628</v>
      </c>
      <c r="G24" s="22"/>
    </row>
    <row r="25" ht="19.5" customHeight="1">
      <c r="A25" s="3" t="s">
        <v>1030</v>
      </c>
      <c r="B25" s="139">
        <f t="shared" ref="B25:F25" si="4">SUM(B20:B23)-B24</f>
        <v>0</v>
      </c>
      <c r="C25" s="139">
        <f t="shared" si="4"/>
        <v>0</v>
      </c>
      <c r="D25" s="139">
        <f t="shared" si="4"/>
        <v>0</v>
      </c>
      <c r="E25" s="139">
        <f t="shared" si="4"/>
        <v>0</v>
      </c>
      <c r="F25" s="139">
        <f t="shared" si="4"/>
        <v>0</v>
      </c>
      <c r="G25" s="3"/>
    </row>
    <row r="26" ht="19.5" customHeight="1">
      <c r="A26" s="3" t="s">
        <v>1031</v>
      </c>
      <c r="B26" s="29">
        <f t="shared" ref="B26:F26" si="5">B20/B12</f>
        <v>0.3976748762</v>
      </c>
      <c r="C26" s="29">
        <f t="shared" si="5"/>
        <v>0.4067565162</v>
      </c>
      <c r="D26" s="29">
        <f t="shared" si="5"/>
        <v>0.4114025043</v>
      </c>
      <c r="E26" s="29">
        <f t="shared" si="5"/>
        <v>0.4350869001</v>
      </c>
      <c r="F26" s="29">
        <f t="shared" si="5"/>
        <v>0.4189478903</v>
      </c>
      <c r="G26" s="3"/>
    </row>
    <row r="27" ht="19.5" customHeight="1">
      <c r="A27" s="3" t="s">
        <v>814</v>
      </c>
      <c r="B27" s="29">
        <f t="shared" ref="B27:F27" si="6">B21/B13</f>
        <v>0.1413865692</v>
      </c>
      <c r="C27" s="29">
        <f t="shared" si="6"/>
        <v>0.2369474491</v>
      </c>
      <c r="D27" s="29">
        <f t="shared" si="6"/>
        <v>0.1932854273</v>
      </c>
      <c r="E27" s="29">
        <f t="shared" si="6"/>
        <v>0.3440485758</v>
      </c>
      <c r="F27" s="29">
        <f t="shared" si="6"/>
        <v>0.3133205354</v>
      </c>
      <c r="G27" s="3"/>
    </row>
    <row r="28" ht="19.5" customHeight="1">
      <c r="A28" s="3" t="s">
        <v>1032</v>
      </c>
      <c r="B28" s="29">
        <f t="shared" ref="B28:F28" si="7">B24/B16</f>
        <v>0.3210977721</v>
      </c>
      <c r="C28" s="29">
        <f t="shared" si="7"/>
        <v>0.3203263859</v>
      </c>
      <c r="D28" s="29">
        <f t="shared" si="7"/>
        <v>0.3314922159</v>
      </c>
      <c r="E28" s="29">
        <f t="shared" si="7"/>
        <v>0.3503212998</v>
      </c>
      <c r="F28" s="29">
        <f t="shared" si="7"/>
        <v>0.331103964</v>
      </c>
      <c r="G28" s="3"/>
    </row>
    <row r="29" ht="19.5" customHeight="1">
      <c r="A29" s="3" t="s">
        <v>1033</v>
      </c>
      <c r="B29" s="29">
        <f t="shared" ref="B29:F29" si="8">B13/B16</f>
        <v>0.1235050769</v>
      </c>
      <c r="C29" s="29">
        <f t="shared" si="8"/>
        <v>0.1457292794</v>
      </c>
      <c r="D29" s="29">
        <f t="shared" si="8"/>
        <v>0.1386677524</v>
      </c>
      <c r="E29" s="29">
        <f t="shared" si="8"/>
        <v>0.1950263832</v>
      </c>
      <c r="F29" s="29">
        <f t="shared" si="8"/>
        <v>0.1740814505</v>
      </c>
      <c r="G29" s="3"/>
    </row>
    <row r="30" ht="19.5" customHeight="1">
      <c r="A30" s="22" t="s">
        <v>1034</v>
      </c>
      <c r="B30" s="112">
        <f>B24*(1-Assumptions!$B$5)</f>
        <v>88788.1</v>
      </c>
      <c r="C30" s="112">
        <f>C24*(1-Assumptions!$B$5)</f>
        <v>101940.81</v>
      </c>
      <c r="D30" s="112">
        <f>D24*(1-Assumptions!$B$5)</f>
        <v>48882.83</v>
      </c>
      <c r="E30" s="112">
        <f>E24*(1-Assumptions!$B$5)</f>
        <v>63568.14</v>
      </c>
      <c r="F30" s="112">
        <f>F24*(1-Assumptions!$B$5)</f>
        <v>116626.12</v>
      </c>
      <c r="G30" s="22"/>
    </row>
    <row r="31" ht="19.5" customHeight="1">
      <c r="A31" s="3"/>
      <c r="B31" s="3"/>
      <c r="C31" s="3"/>
      <c r="D31" s="3"/>
      <c r="E31" s="3"/>
      <c r="F31" s="3"/>
      <c r="G31" s="3"/>
    </row>
    <row r="32" ht="19.5" customHeight="1">
      <c r="A32" s="3"/>
      <c r="B32" s="3"/>
      <c r="C32" s="3"/>
      <c r="D32" s="3"/>
      <c r="E32" s="3"/>
      <c r="F32" s="3"/>
      <c r="G32" s="3"/>
    </row>
    <row r="33" ht="19.5" customHeight="1">
      <c r="A33" s="25" t="s">
        <v>1035</v>
      </c>
      <c r="B33" s="25"/>
      <c r="C33" s="25"/>
      <c r="D33" s="25"/>
      <c r="E33" s="25"/>
      <c r="F33" s="25"/>
      <c r="G33" s="25"/>
    </row>
    <row r="34" ht="19.5" customHeight="1">
      <c r="A34" s="3" t="s">
        <v>1036</v>
      </c>
      <c r="B34" s="4">
        <f>1*SUM('Cash flow'!C22)</f>
        <v>125299</v>
      </c>
      <c r="C34" s="4">
        <f>1*SUM('Cash flow'!G22)</f>
        <v>164713</v>
      </c>
      <c r="D34" s="4">
        <f>1*SUM('Cash flow'!E22)</f>
        <v>63897</v>
      </c>
      <c r="E34" s="4">
        <f>1*SUM('Cash flow'!I22)</f>
        <v>84859</v>
      </c>
      <c r="F34" s="21">
        <f t="shared" ref="F34:F35" si="9">C34-D34+E34</f>
        <v>185675</v>
      </c>
      <c r="G34" s="3"/>
    </row>
    <row r="35" ht="19.5" customHeight="1">
      <c r="A35" s="3" t="s">
        <v>369</v>
      </c>
      <c r="B35" s="4">
        <f>-1*SUM('Cash flow'!C25)</f>
        <v>52535</v>
      </c>
      <c r="C35" s="4">
        <f>-1*SUM('Cash flow'!G25)</f>
        <v>91447</v>
      </c>
      <c r="D35" s="4">
        <f>-1*SUM('Cash flow'!E25)</f>
        <v>39643</v>
      </c>
      <c r="E35" s="4">
        <f>-1*SUM('Cash flow'!I25)</f>
        <v>80598</v>
      </c>
      <c r="F35" s="21">
        <f t="shared" si="9"/>
        <v>132402</v>
      </c>
      <c r="G35" s="3"/>
    </row>
    <row r="36" ht="19.5" customHeight="1">
      <c r="A36" s="22" t="s">
        <v>1037</v>
      </c>
      <c r="B36" s="113">
        <f t="shared" ref="B36:F36" si="10">B34-B35</f>
        <v>72764</v>
      </c>
      <c r="C36" s="113">
        <f t="shared" si="10"/>
        <v>73266</v>
      </c>
      <c r="D36" s="113">
        <f t="shared" si="10"/>
        <v>24254</v>
      </c>
      <c r="E36" s="113">
        <f t="shared" si="10"/>
        <v>4261</v>
      </c>
      <c r="F36" s="113">
        <f t="shared" si="10"/>
        <v>53273</v>
      </c>
      <c r="G36" s="22"/>
    </row>
    <row r="37" ht="19.5" customHeight="1">
      <c r="A37" s="3" t="s">
        <v>1038</v>
      </c>
      <c r="B37" s="4">
        <f>1*SUM('Cash flow'!C10)</f>
        <v>22785</v>
      </c>
      <c r="C37" s="4">
        <f>1*SUM('Cash flow'!G10)</f>
        <v>24953</v>
      </c>
      <c r="D37" s="4">
        <f>1*SUM('Cash flow'!E10)</f>
        <v>11514</v>
      </c>
      <c r="E37" s="4">
        <f>1*SUM('Cash flow'!I10)</f>
        <v>14708</v>
      </c>
      <c r="F37" s="21">
        <f>C37-D37+E37</f>
        <v>28147</v>
      </c>
      <c r="G37" s="3"/>
    </row>
    <row r="38" ht="19.5" customHeight="1">
      <c r="A38" s="22" t="s">
        <v>1039</v>
      </c>
      <c r="B38" s="113">
        <f t="shared" ref="B38:F38" si="11">B36-B37</f>
        <v>49979</v>
      </c>
      <c r="C38" s="113">
        <f t="shared" si="11"/>
        <v>48313</v>
      </c>
      <c r="D38" s="113">
        <f t="shared" si="11"/>
        <v>12740</v>
      </c>
      <c r="E38" s="113">
        <f t="shared" si="11"/>
        <v>-10447</v>
      </c>
      <c r="F38" s="113">
        <f t="shared" si="11"/>
        <v>25126</v>
      </c>
      <c r="G38" s="22"/>
    </row>
    <row r="39" ht="19.5" customHeight="1">
      <c r="A39" s="3" t="s">
        <v>1040</v>
      </c>
      <c r="B39" s="4">
        <f>1*SUM('Cash flow'!C9)</f>
        <v>15311</v>
      </c>
      <c r="C39" s="4">
        <f>1*SUM('Cash flow'!G9)</f>
        <v>21136</v>
      </c>
      <c r="D39" s="4">
        <f>1*SUM('Cash flow'!E9)</f>
        <v>9485</v>
      </c>
      <c r="E39" s="4">
        <f>1*SUM('Cash flow'!I9)</f>
        <v>13586</v>
      </c>
      <c r="F39" s="21">
        <f>C39-D39+E39</f>
        <v>25237</v>
      </c>
      <c r="G39" s="3"/>
    </row>
    <row r="40" ht="19.5" customHeight="1">
      <c r="A40" s="3" t="s">
        <v>689</v>
      </c>
      <c r="B40" s="29">
        <f t="shared" ref="B40:F40" si="12">B35/B16</f>
        <v>0.150092281</v>
      </c>
      <c r="C40" s="29">
        <f t="shared" si="12"/>
        <v>0.2270080132</v>
      </c>
      <c r="D40" s="29">
        <f t="shared" si="12"/>
        <v>0.2123785237</v>
      </c>
      <c r="E40" s="29">
        <f t="shared" si="12"/>
        <v>0.3508959824</v>
      </c>
      <c r="F40" s="29">
        <f t="shared" si="12"/>
        <v>0.2969546904</v>
      </c>
      <c r="G40" s="3"/>
    </row>
    <row r="41" ht="19.5" customHeight="1">
      <c r="A41" s="3" t="s">
        <v>1041</v>
      </c>
      <c r="B41" s="4">
        <f>1*SUM('Cash flow'!C8)</f>
        <v>100118</v>
      </c>
      <c r="C41" s="4">
        <f>1*SUM('Cash flow'!G8)</f>
        <v>132170</v>
      </c>
      <c r="D41" s="4">
        <f>1*SUM('Cash flow'!E8)</f>
        <v>62736</v>
      </c>
      <c r="E41" s="4">
        <f>1*SUM('Cash flow'!I8)</f>
        <v>174771</v>
      </c>
      <c r="F41" s="21">
        <f t="shared" ref="F41:F44" si="13">C41-D41+E41</f>
        <v>244205</v>
      </c>
      <c r="G41" s="3"/>
    </row>
    <row r="42" ht="19.5" customHeight="1">
      <c r="A42" s="3" t="s">
        <v>1042</v>
      </c>
      <c r="B42" s="4">
        <f>1*SUM('Cash flow'!C11)</f>
        <v>-5257</v>
      </c>
      <c r="C42" s="4">
        <f>1*SUM('Cash flow'!G11)</f>
        <v>8348</v>
      </c>
      <c r="D42" s="4">
        <f>1*SUM('Cash flow'!E11)</f>
        <v>-1596</v>
      </c>
      <c r="E42" s="4">
        <f>1*SUM('Cash flow'!I11)</f>
        <v>27538</v>
      </c>
      <c r="F42" s="21">
        <f t="shared" si="13"/>
        <v>37482</v>
      </c>
      <c r="G42" s="3"/>
    </row>
    <row r="43" ht="19.5" customHeight="1">
      <c r="A43" s="3" t="s">
        <v>1043</v>
      </c>
      <c r="B43" s="4">
        <f>1*SUM('Cash flow'!C12)</f>
        <v>-2671</v>
      </c>
      <c r="C43" s="4">
        <f>1*SUM('Cash flow'!G12)</f>
        <v>-24620</v>
      </c>
      <c r="D43" s="4">
        <f>1*SUM('Cash flow'!E12)</f>
        <v>-11411</v>
      </c>
      <c r="E43" s="4">
        <f>1*SUM('Cash flow'!I12)</f>
        <v>-135803</v>
      </c>
      <c r="F43" s="21">
        <f t="shared" si="13"/>
        <v>-149012</v>
      </c>
      <c r="G43" s="3"/>
    </row>
    <row r="44" ht="19.5" customHeight="1">
      <c r="A44" s="3" t="s">
        <v>1044</v>
      </c>
      <c r="B44" s="4">
        <f>1*SUM('Cash flow'!C13)</f>
        <v>3419</v>
      </c>
      <c r="C44" s="4">
        <f>1*SUM('Cash flow'!G13)</f>
        <v>2108</v>
      </c>
      <c r="D44" s="4">
        <f>1*SUM('Cash flow'!E13)</f>
        <v>1041</v>
      </c>
      <c r="E44" s="4">
        <f>1*SUM('Cash flow'!I13)</f>
        <v>3161</v>
      </c>
      <c r="F44" s="21">
        <f t="shared" si="13"/>
        <v>4228</v>
      </c>
      <c r="G44" s="3"/>
    </row>
    <row r="45" ht="19.5" customHeight="1">
      <c r="A45" s="3"/>
      <c r="B45" s="3"/>
      <c r="C45" s="3"/>
      <c r="D45" s="3"/>
      <c r="E45" s="3"/>
      <c r="F45" s="3"/>
      <c r="G45" s="3"/>
    </row>
    <row r="46" ht="19.5" customHeight="1">
      <c r="A46" s="3" t="s">
        <v>1045</v>
      </c>
      <c r="B46" s="4">
        <f>1*SUM('Cash flow'!C14)</f>
        <v>-5891</v>
      </c>
      <c r="C46" s="4">
        <f>1*SUM('Cash flow'!G14)</f>
        <v>-8779</v>
      </c>
      <c r="D46" s="4">
        <f>1*SUM('Cash flow'!E14)</f>
        <v>-1201</v>
      </c>
      <c r="E46" s="4">
        <f>1*SUM('Cash flow'!I14)</f>
        <v>-6904</v>
      </c>
      <c r="F46" s="21">
        <f t="shared" ref="F46:F52" si="14">C46-D46+E46</f>
        <v>-14482</v>
      </c>
      <c r="G46" s="3"/>
    </row>
    <row r="47" ht="19.5" customHeight="1">
      <c r="A47" s="3" t="s">
        <v>1046</v>
      </c>
      <c r="B47" s="4">
        <f>1*SUM('Cash flow'!C15)</f>
        <v>0</v>
      </c>
      <c r="C47" s="4">
        <f>1*SUM('Cash flow'!G15)</f>
        <v>0</v>
      </c>
      <c r="D47" s="4">
        <f>1*SUM('Cash flow'!E15)</f>
        <v>0</v>
      </c>
      <c r="E47" s="4">
        <f>1*SUM('Cash flow'!I15)</f>
        <v>-7739</v>
      </c>
      <c r="F47" s="21">
        <f t="shared" si="14"/>
        <v>-7739</v>
      </c>
      <c r="G47" s="3"/>
    </row>
    <row r="48" ht="19.5" customHeight="1">
      <c r="A48" s="3" t="s">
        <v>1047</v>
      </c>
      <c r="B48" s="4">
        <f>1*SUM('Cash flow'!C17)</f>
        <v>-1397</v>
      </c>
      <c r="C48" s="4">
        <f>1*SUM('Cash flow'!G17)</f>
        <v>-4542</v>
      </c>
      <c r="D48" s="4">
        <f>1*SUM('Cash flow'!E17)</f>
        <v>-2767</v>
      </c>
      <c r="E48" s="4">
        <f>1*SUM('Cash flow'!I17)</f>
        <v>-9950</v>
      </c>
      <c r="F48" s="21">
        <f t="shared" si="14"/>
        <v>-11725</v>
      </c>
      <c r="G48" s="3"/>
    </row>
    <row r="49" ht="19.5" customHeight="1">
      <c r="A49" s="3" t="s">
        <v>1048</v>
      </c>
      <c r="B49" s="4">
        <f>1*SUM('Cash flow'!C18)</f>
        <v>359</v>
      </c>
      <c r="C49" s="4">
        <f>1*SUM('Cash flow'!G18)</f>
        <v>907</v>
      </c>
      <c r="D49" s="4">
        <f>1*SUM('Cash flow'!E18)</f>
        <v>-327</v>
      </c>
      <c r="E49" s="4">
        <f>1*SUM('Cash flow'!I18)</f>
        <v>2090</v>
      </c>
      <c r="F49" s="21">
        <f t="shared" si="14"/>
        <v>3324</v>
      </c>
      <c r="G49" s="3"/>
    </row>
    <row r="50" ht="19.5" customHeight="1">
      <c r="A50" s="3" t="s">
        <v>1049</v>
      </c>
      <c r="B50" s="4">
        <f>1*SUM('Cash flow'!C19)</f>
        <v>-1161</v>
      </c>
      <c r="C50" s="4">
        <f>1*SUM('Cash flow'!G19)</f>
        <v>12939</v>
      </c>
      <c r="D50" s="4">
        <f>1*SUM('Cash flow'!E19)</f>
        <v>-1560</v>
      </c>
      <c r="E50" s="4">
        <f>1*SUM('Cash flow'!I19)</f>
        <v>308</v>
      </c>
      <c r="F50" s="21">
        <f t="shared" si="14"/>
        <v>14807</v>
      </c>
      <c r="G50" s="3"/>
    </row>
    <row r="51" ht="19.5" customHeight="1">
      <c r="A51" s="3" t="s">
        <v>1050</v>
      </c>
      <c r="B51" s="4">
        <f>1*SUM('Cash flow'!C20)</f>
        <v>1059</v>
      </c>
      <c r="C51" s="4">
        <f>1*SUM('Cash flow'!G20)</f>
        <v>899</v>
      </c>
      <c r="D51" s="4">
        <f>1*SUM('Cash flow'!E20)</f>
        <v>-219</v>
      </c>
      <c r="E51" s="4">
        <f>1*SUM('Cash flow'!I20)</f>
        <v>0</v>
      </c>
      <c r="F51" s="21">
        <f t="shared" si="14"/>
        <v>1118</v>
      </c>
      <c r="G51" s="3"/>
    </row>
    <row r="52" ht="19.5" customHeight="1">
      <c r="A52" s="3" t="s">
        <v>1051</v>
      </c>
      <c r="B52" s="4">
        <f>1*SUM('Cash flow'!C21)</f>
        <v>1043</v>
      </c>
      <c r="C52" s="4">
        <f>1*SUM('Cash flow'!G21)</f>
        <v>2420</v>
      </c>
      <c r="D52" s="4">
        <f>1*SUM('Cash flow'!E21)</f>
        <v>636</v>
      </c>
      <c r="E52" s="4">
        <f>1*SUM('Cash flow'!I21)</f>
        <v>789</v>
      </c>
      <c r="F52" s="21">
        <f t="shared" si="14"/>
        <v>2573</v>
      </c>
      <c r="G52" s="3"/>
    </row>
    <row r="53" ht="19.5" customHeight="1">
      <c r="A53" s="3" t="s">
        <v>1052</v>
      </c>
      <c r="B53" s="21">
        <f t="shared" ref="B53:F53" si="15">SUM(B46:B52)</f>
        <v>-5988</v>
      </c>
      <c r="C53" s="21">
        <f t="shared" si="15"/>
        <v>3844</v>
      </c>
      <c r="D53" s="21">
        <f t="shared" si="15"/>
        <v>-5438</v>
      </c>
      <c r="E53" s="21">
        <f t="shared" si="15"/>
        <v>-21406</v>
      </c>
      <c r="F53" s="21">
        <f t="shared" si="15"/>
        <v>-12124</v>
      </c>
      <c r="G53" s="3"/>
    </row>
    <row r="54" ht="19.5" customHeight="1">
      <c r="A54" s="3" t="s">
        <v>1053</v>
      </c>
      <c r="B54" s="4">
        <f>1*SUM('Cash flow'!C16)</f>
        <v>-2418</v>
      </c>
      <c r="C54" s="4">
        <f>1*SUM('Cash flow'!G16)</f>
        <v>-3226</v>
      </c>
      <c r="D54" s="4">
        <f>1*SUM('Cash flow'!E16)</f>
        <v>-2434</v>
      </c>
      <c r="E54" s="4">
        <f>1*SUM('Cash flow'!I16)</f>
        <v>8304</v>
      </c>
      <c r="F54" s="21">
        <f>C54-D54+E54</f>
        <v>7512</v>
      </c>
      <c r="G54" s="3"/>
    </row>
    <row r="55" ht="19.5" customHeight="1">
      <c r="A55" s="3" t="s">
        <v>1054</v>
      </c>
      <c r="B55" s="21">
        <f t="shared" ref="B55:F55" si="16">SUM(B41:B44)+B39+B37+B53+B54</f>
        <v>125299</v>
      </c>
      <c r="C55" s="21">
        <f t="shared" si="16"/>
        <v>164713</v>
      </c>
      <c r="D55" s="21">
        <f t="shared" si="16"/>
        <v>63897</v>
      </c>
      <c r="E55" s="21">
        <f t="shared" si="16"/>
        <v>84859</v>
      </c>
      <c r="F55" s="21">
        <f t="shared" si="16"/>
        <v>185675</v>
      </c>
      <c r="G55" s="3"/>
    </row>
    <row r="56" ht="19.5" customHeight="1">
      <c r="A56" s="3" t="s">
        <v>1055</v>
      </c>
      <c r="B56" s="139">
        <f t="shared" ref="B56:F56" si="17">B55-B34</f>
        <v>0</v>
      </c>
      <c r="C56" s="139">
        <f t="shared" si="17"/>
        <v>0</v>
      </c>
      <c r="D56" s="139">
        <f t="shared" si="17"/>
        <v>0</v>
      </c>
      <c r="E56" s="139">
        <f t="shared" si="17"/>
        <v>0</v>
      </c>
      <c r="F56" s="139">
        <f t="shared" si="17"/>
        <v>0</v>
      </c>
      <c r="G56" s="3"/>
    </row>
    <row r="57" ht="19.5" customHeight="1">
      <c r="A57" s="3"/>
      <c r="B57" s="3"/>
      <c r="C57" s="3"/>
      <c r="D57" s="3"/>
      <c r="E57" s="3"/>
      <c r="F57" s="3"/>
      <c r="G57" s="3"/>
    </row>
    <row r="58" ht="19.5" customHeight="1">
      <c r="A58" s="22" t="s">
        <v>1056</v>
      </c>
      <c r="B58" s="113">
        <f t="shared" ref="B58:F58" si="18">B30+B39+B44+B53-B35</f>
        <v>48995.1</v>
      </c>
      <c r="C58" s="113">
        <f t="shared" si="18"/>
        <v>37581.81</v>
      </c>
      <c r="D58" s="113">
        <f t="shared" si="18"/>
        <v>14327.83</v>
      </c>
      <c r="E58" s="113">
        <f t="shared" si="18"/>
        <v>-21688.86</v>
      </c>
      <c r="F58" s="113">
        <f t="shared" si="18"/>
        <v>1565.12</v>
      </c>
      <c r="G58" s="22"/>
    </row>
    <row r="59" ht="19.5" customHeight="1">
      <c r="A59" s="3" t="s">
        <v>1057</v>
      </c>
      <c r="B59" s="21">
        <f t="shared" ref="B59:F59" si="19">B36+B30-B41-B37-B42-B43-B54</f>
        <v>48995.1</v>
      </c>
      <c r="C59" s="21">
        <f t="shared" si="19"/>
        <v>37581.81</v>
      </c>
      <c r="D59" s="21">
        <f t="shared" si="19"/>
        <v>14327.83</v>
      </c>
      <c r="E59" s="21">
        <f t="shared" si="19"/>
        <v>-21688.86</v>
      </c>
      <c r="F59" s="21">
        <f t="shared" si="19"/>
        <v>1565.12</v>
      </c>
      <c r="G59" s="3"/>
    </row>
    <row r="60" ht="19.5" customHeight="1">
      <c r="A60" s="3" t="s">
        <v>1058</v>
      </c>
      <c r="B60" s="139">
        <f t="shared" ref="B60:F60" si="20">B58-B59</f>
        <v>0</v>
      </c>
      <c r="C60" s="139">
        <f t="shared" si="20"/>
        <v>0</v>
      </c>
      <c r="D60" s="139">
        <f t="shared" si="20"/>
        <v>0</v>
      </c>
      <c r="E60" s="139">
        <f t="shared" si="20"/>
        <v>0</v>
      </c>
      <c r="F60" s="139">
        <f t="shared" si="20"/>
        <v>0</v>
      </c>
      <c r="G60" s="3"/>
    </row>
    <row r="61" ht="19.5" customHeight="1">
      <c r="A61" s="3"/>
      <c r="B61" s="3"/>
      <c r="C61" s="3"/>
      <c r="D61" s="3"/>
      <c r="E61" s="3"/>
      <c r="F61" s="3"/>
      <c r="G61" s="3"/>
    </row>
    <row r="62" ht="34.5" customHeight="1">
      <c r="A62" s="55" t="s">
        <v>1059</v>
      </c>
    </row>
    <row r="63" ht="34.5" customHeight="1">
      <c r="A63" s="55" t="s">
        <v>1060</v>
      </c>
    </row>
    <row r="64" ht="19.5" customHeight="1">
      <c r="A64" s="3"/>
      <c r="B64" s="3"/>
      <c r="C64" s="3"/>
      <c r="D64" s="3"/>
      <c r="E64" s="3"/>
      <c r="F64" s="3"/>
      <c r="G64" s="3"/>
    </row>
    <row r="65" ht="19.5" customHeight="1">
      <c r="A65" s="3"/>
      <c r="B65" s="3"/>
      <c r="C65" s="3"/>
      <c r="D65" s="3"/>
      <c r="E65" s="3"/>
      <c r="F65" s="3"/>
      <c r="G65" s="3"/>
    </row>
    <row r="66" ht="19.5" customHeight="1">
      <c r="A66" s="209" t="s">
        <v>1061</v>
      </c>
      <c r="B66" s="210" t="s">
        <v>1062</v>
      </c>
      <c r="C66" s="210" t="s">
        <v>1063</v>
      </c>
      <c r="D66" s="210" t="s">
        <v>1064</v>
      </c>
      <c r="E66" s="210" t="s">
        <v>1065</v>
      </c>
      <c r="F66" s="209"/>
      <c r="G66" s="209"/>
    </row>
    <row r="67" ht="19.5" customHeight="1">
      <c r="A67" s="3" t="s">
        <v>1066</v>
      </c>
      <c r="B67" s="4">
        <f>'Balance sheet'!C14-'Balance sheet'!C10</f>
        <v>68054</v>
      </c>
      <c r="C67" s="4">
        <f>'Balance sheet'!E14-'Balance sheet'!E10</f>
        <v>71068</v>
      </c>
      <c r="D67" s="4">
        <f>'Balance sheet'!G14-'Balance sheet'!G10</f>
        <v>79195</v>
      </c>
      <c r="E67" s="4">
        <f>'Balance sheet'!I14-'Balance sheet'!I10</f>
        <v>101050</v>
      </c>
      <c r="F67" s="3"/>
      <c r="G67" s="3"/>
    </row>
    <row r="68" ht="19.5" customHeight="1">
      <c r="A68" s="3" t="s">
        <v>1067</v>
      </c>
      <c r="B68" s="4">
        <f>'Balance sheet'!C32</f>
        <v>89122</v>
      </c>
      <c r="C68" s="4">
        <f>'Balance sheet'!E32</f>
        <v>87310</v>
      </c>
      <c r="D68" s="4">
        <f>'Balance sheet'!G32</f>
        <v>102745</v>
      </c>
      <c r="E68" s="4">
        <f>'Balance sheet'!I32</f>
        <v>126111</v>
      </c>
      <c r="F68" s="3"/>
      <c r="G68" s="3"/>
    </row>
    <row r="69" ht="19.5" customHeight="1">
      <c r="A69" s="3" t="s">
        <v>1068</v>
      </c>
      <c r="B69" s="4">
        <f>SUM('Sources and basis'!B36:B42)</f>
        <v>23518</v>
      </c>
      <c r="C69" s="4">
        <f>SUM('Sources and basis'!C36:C42)</f>
        <v>21623</v>
      </c>
      <c r="D69" s="4">
        <f>SUM('Sources and basis'!D36:D42)</f>
        <v>22209</v>
      </c>
      <c r="E69" s="4">
        <f>SUM('Sources and basis'!E36:E42)</f>
        <v>41062</v>
      </c>
      <c r="F69" s="3"/>
      <c r="G69" s="3"/>
    </row>
    <row r="70" ht="19.5" customHeight="1">
      <c r="A70" s="3" t="s">
        <v>1069</v>
      </c>
      <c r="B70" s="21">
        <f t="shared" ref="B70:E70" si="21">B68-B69</f>
        <v>65604</v>
      </c>
      <c r="C70" s="21">
        <f t="shared" si="21"/>
        <v>65687</v>
      </c>
      <c r="D70" s="21">
        <f t="shared" si="21"/>
        <v>80536</v>
      </c>
      <c r="E70" s="21">
        <f t="shared" si="21"/>
        <v>85049</v>
      </c>
      <c r="F70" s="3"/>
      <c r="G70" s="3"/>
    </row>
    <row r="71" ht="19.5" customHeight="1">
      <c r="A71" s="3" t="s">
        <v>1070</v>
      </c>
      <c r="B71" s="21">
        <f t="shared" ref="B71:E71" si="22">B67-B70</f>
        <v>2450</v>
      </c>
      <c r="C71" s="21">
        <f t="shared" si="22"/>
        <v>5381</v>
      </c>
      <c r="D71" s="21">
        <f t="shared" si="22"/>
        <v>-1341</v>
      </c>
      <c r="E71" s="21">
        <f t="shared" si="22"/>
        <v>16001</v>
      </c>
      <c r="F71" s="3"/>
      <c r="G71" s="3"/>
    </row>
    <row r="72" ht="19.5" customHeight="1">
      <c r="A72" s="3" t="s">
        <v>1071</v>
      </c>
      <c r="B72" s="4">
        <f>'Balance sheet'!C19</f>
        <v>171036</v>
      </c>
      <c r="C72" s="4">
        <f>'Balance sheet'!E19</f>
        <v>203231</v>
      </c>
      <c r="D72" s="4">
        <f>'Balance sheet'!G19</f>
        <v>246597</v>
      </c>
      <c r="E72" s="4">
        <f>'Balance sheet'!I19</f>
        <v>321212</v>
      </c>
      <c r="F72" s="3"/>
      <c r="G72" s="3"/>
    </row>
    <row r="73" ht="19.5" customHeight="1">
      <c r="A73" s="22" t="s">
        <v>1072</v>
      </c>
      <c r="B73" s="113">
        <f t="shared" ref="B73:E73" si="23">B71+B72</f>
        <v>173486</v>
      </c>
      <c r="C73" s="113">
        <f t="shared" si="23"/>
        <v>208612</v>
      </c>
      <c r="D73" s="113">
        <f t="shared" si="23"/>
        <v>245256</v>
      </c>
      <c r="E73" s="113">
        <f t="shared" si="23"/>
        <v>337213</v>
      </c>
      <c r="F73" s="22"/>
      <c r="G73" s="22"/>
    </row>
    <row r="74" ht="19.5" customHeight="1">
      <c r="A74" s="3" t="s">
        <v>1073</v>
      </c>
      <c r="B74" s="4">
        <f>'Sources and basis'!B43</f>
        <v>50597</v>
      </c>
      <c r="C74" s="4">
        <f>'Sources and basis'!C43</f>
        <v>61700</v>
      </c>
      <c r="D74" s="4">
        <f>'Sources and basis'!D43</f>
        <v>78592</v>
      </c>
      <c r="E74" s="4">
        <f>'Sources and basis'!E43</f>
        <v>122814</v>
      </c>
      <c r="F74" s="3"/>
      <c r="G74" s="3"/>
    </row>
    <row r="75" ht="19.5" customHeight="1">
      <c r="A75" s="3" t="s">
        <v>1074</v>
      </c>
      <c r="B75" s="21">
        <f t="shared" ref="B75:E75" si="24">B72-B74</f>
        <v>120439</v>
      </c>
      <c r="C75" s="21">
        <f t="shared" si="24"/>
        <v>141531</v>
      </c>
      <c r="D75" s="21">
        <f t="shared" si="24"/>
        <v>168005</v>
      </c>
      <c r="E75" s="21">
        <f t="shared" si="24"/>
        <v>198398</v>
      </c>
      <c r="F75" s="3"/>
      <c r="G75" s="3"/>
    </row>
    <row r="76" ht="19.5" customHeight="1">
      <c r="A76" s="3" t="s">
        <v>1075</v>
      </c>
      <c r="B76" s="29">
        <f t="shared" ref="B76:E76" si="25">B74/B72</f>
        <v>0.2958266096</v>
      </c>
      <c r="C76" s="29">
        <f t="shared" si="25"/>
        <v>0.3035954161</v>
      </c>
      <c r="D76" s="29">
        <f t="shared" si="25"/>
        <v>0.3187062292</v>
      </c>
      <c r="E76" s="29">
        <f t="shared" si="25"/>
        <v>0.382345616</v>
      </c>
      <c r="F76" s="3"/>
      <c r="G76" s="3"/>
    </row>
    <row r="77" ht="19.5" customHeight="1">
      <c r="A77" s="3"/>
      <c r="B77" s="3"/>
      <c r="C77" s="3"/>
      <c r="D77" s="3"/>
      <c r="E77" s="3"/>
      <c r="F77" s="3"/>
      <c r="G77" s="3"/>
    </row>
    <row r="78" ht="19.5" customHeight="1">
      <c r="A78" s="3"/>
      <c r="B78" s="3"/>
      <c r="C78" s="3"/>
      <c r="D78" s="3"/>
      <c r="E78" s="3"/>
      <c r="F78" s="3"/>
      <c r="G78" s="3"/>
    </row>
    <row r="79" ht="19.5" customHeight="1">
      <c r="A79" s="209" t="s">
        <v>1076</v>
      </c>
      <c r="B79" s="209" t="s">
        <v>1018</v>
      </c>
      <c r="C79" s="209" t="s">
        <v>340</v>
      </c>
      <c r="D79" s="211" t="s">
        <v>1077</v>
      </c>
      <c r="E79" s="211" t="s">
        <v>1078</v>
      </c>
      <c r="F79" s="211" t="s">
        <v>1079</v>
      </c>
      <c r="G79" s="211" t="s">
        <v>1080</v>
      </c>
    </row>
    <row r="80" ht="19.5" customHeight="1">
      <c r="A80" s="3" t="s">
        <v>368</v>
      </c>
      <c r="B80" s="21">
        <f>C30</f>
        <v>101940.81</v>
      </c>
      <c r="C80" s="21">
        <f>F30</f>
        <v>116626.12</v>
      </c>
      <c r="D80" s="21">
        <f t="shared" ref="D80:E80" si="26">B80</f>
        <v>101940.81</v>
      </c>
      <c r="E80" s="21">
        <f t="shared" si="26"/>
        <v>116626.12</v>
      </c>
      <c r="F80" s="18" t="s">
        <v>1081</v>
      </c>
      <c r="G80" s="212">
        <v>9830.0</v>
      </c>
    </row>
    <row r="81" ht="19.5" customHeight="1">
      <c r="A81" s="3" t="s">
        <v>1082</v>
      </c>
      <c r="B81" s="21">
        <f t="shared" ref="B81:C81" si="27">B73</f>
        <v>173486</v>
      </c>
      <c r="C81" s="21">
        <f t="shared" si="27"/>
        <v>208612</v>
      </c>
      <c r="D81" s="21">
        <f>B81+G80+B118</f>
        <v>190316.36</v>
      </c>
      <c r="E81" s="21">
        <f>C81+G81+C118</f>
        <v>224538.98</v>
      </c>
      <c r="F81" s="18" t="s">
        <v>1083</v>
      </c>
      <c r="G81" s="212">
        <v>8499.0</v>
      </c>
    </row>
    <row r="82" ht="19.5" customHeight="1">
      <c r="A82" s="3" t="s">
        <v>1084</v>
      </c>
      <c r="B82" s="21">
        <f t="shared" ref="B82:C82" si="28">D73</f>
        <v>245256</v>
      </c>
      <c r="C82" s="21">
        <f t="shared" si="28"/>
        <v>337213</v>
      </c>
      <c r="D82" s="21">
        <f>B82+G82+D118</f>
        <v>268906.72</v>
      </c>
      <c r="E82" s="21">
        <f>C82+G83-G84+E118</f>
        <v>356386.32</v>
      </c>
      <c r="F82" s="18" t="s">
        <v>1085</v>
      </c>
      <c r="G82" s="213">
        <f>'Working capital'!B25</f>
        <v>15594</v>
      </c>
    </row>
    <row r="83" ht="19.5" customHeight="1">
      <c r="A83" s="22" t="s">
        <v>1086</v>
      </c>
      <c r="B83" s="113">
        <f t="shared" ref="B83:E83" si="29">AVERAGE(B81:B82)</f>
        <v>209371</v>
      </c>
      <c r="C83" s="113">
        <f t="shared" si="29"/>
        <v>272912.5</v>
      </c>
      <c r="D83" s="113">
        <f t="shared" si="29"/>
        <v>229611.54</v>
      </c>
      <c r="E83" s="113">
        <f t="shared" si="29"/>
        <v>290462.65</v>
      </c>
      <c r="F83" s="214" t="s">
        <v>1087</v>
      </c>
      <c r="G83" s="215">
        <f>'Working capital'!C25</f>
        <v>17356</v>
      </c>
    </row>
    <row r="84" ht="19.5" customHeight="1">
      <c r="A84" s="22" t="s">
        <v>1088</v>
      </c>
      <c r="B84" s="140">
        <f t="shared" ref="B84:E84" si="30">B80/B83</f>
        <v>0.4868907824</v>
      </c>
      <c r="C84" s="140">
        <f t="shared" si="30"/>
        <v>0.4273388723</v>
      </c>
      <c r="D84" s="140">
        <f t="shared" si="30"/>
        <v>0.4439707604</v>
      </c>
      <c r="E84" s="140">
        <f t="shared" si="30"/>
        <v>0.4015184741</v>
      </c>
      <c r="F84" s="214" t="s">
        <v>1089</v>
      </c>
      <c r="G84" s="215">
        <f>'Working capital'!C11</f>
        <v>7100</v>
      </c>
    </row>
    <row r="85" ht="19.5" customHeight="1">
      <c r="A85" s="3"/>
      <c r="B85" s="3"/>
      <c r="C85" s="3"/>
      <c r="D85" s="3"/>
      <c r="E85" s="3"/>
      <c r="F85" s="3"/>
      <c r="G85" s="3"/>
    </row>
    <row r="86" ht="34.5" customHeight="1">
      <c r="A86" s="2" t="s">
        <v>1090</v>
      </c>
    </row>
    <row r="87" ht="19.5" customHeight="1">
      <c r="A87" s="3"/>
      <c r="B87" s="3"/>
      <c r="C87" s="3"/>
      <c r="D87" s="3"/>
      <c r="E87" s="3"/>
      <c r="F87" s="3"/>
      <c r="G87" s="3"/>
    </row>
    <row r="88" ht="19.5" customHeight="1">
      <c r="A88" s="3"/>
      <c r="B88" s="3"/>
      <c r="C88" s="3"/>
      <c r="D88" s="3"/>
      <c r="E88" s="3"/>
      <c r="F88" s="3"/>
      <c r="G88" s="3"/>
    </row>
    <row r="89" ht="19.5" customHeight="1">
      <c r="A89" s="209" t="s">
        <v>1091</v>
      </c>
      <c r="B89" s="209" t="s">
        <v>1092</v>
      </c>
      <c r="C89" s="209" t="s">
        <v>1093</v>
      </c>
      <c r="D89" s="209"/>
      <c r="E89" s="209"/>
      <c r="F89" s="209"/>
      <c r="G89" s="209"/>
    </row>
    <row r="90" ht="19.5" customHeight="1">
      <c r="A90" s="3" t="s">
        <v>609</v>
      </c>
      <c r="B90" s="216">
        <f>C16-'Sources and basis'!B75</f>
        <v>0</v>
      </c>
      <c r="C90" s="216">
        <f>F16-'Sources and basis'!C75</f>
        <v>0</v>
      </c>
      <c r="D90" s="139"/>
      <c r="E90" s="139"/>
      <c r="F90" s="139"/>
      <c r="G90" s="3"/>
    </row>
    <row r="91" ht="19.5" customHeight="1">
      <c r="A91" s="3" t="s">
        <v>611</v>
      </c>
      <c r="B91" s="216">
        <f>C24-'Sources and basis'!B76</f>
        <v>0</v>
      </c>
      <c r="C91" s="216">
        <f>F24-'Sources and basis'!C76</f>
        <v>0</v>
      </c>
      <c r="D91" s="139"/>
      <c r="E91" s="139"/>
      <c r="F91" s="139"/>
      <c r="G91" s="3"/>
    </row>
    <row r="92" ht="19.5" customHeight="1">
      <c r="A92" s="3" t="s">
        <v>368</v>
      </c>
      <c r="B92" s="216">
        <f>C30-'Sources and basis'!B77</f>
        <v>0</v>
      </c>
      <c r="C92" s="216">
        <f>F30-'Sources and basis'!C77</f>
        <v>0</v>
      </c>
      <c r="D92" s="139"/>
      <c r="E92" s="139"/>
      <c r="F92" s="139"/>
      <c r="G92" s="3"/>
    </row>
    <row r="93" ht="19.5" customHeight="1">
      <c r="A93" s="3" t="s">
        <v>1086</v>
      </c>
      <c r="B93" s="216">
        <f>B83-'Sources and basis'!B78</f>
        <v>0</v>
      </c>
      <c r="C93" s="216">
        <f>C83-'Sources and basis'!C78</f>
        <v>0</v>
      </c>
      <c r="D93" s="139"/>
      <c r="E93" s="139"/>
      <c r="F93" s="139"/>
      <c r="G93" s="3"/>
    </row>
    <row r="94" ht="19.5" customHeight="1">
      <c r="A94" s="3" t="s">
        <v>1037</v>
      </c>
      <c r="B94" s="216">
        <f>C36-'Sources and basis'!B79</f>
        <v>0</v>
      </c>
      <c r="C94" s="216">
        <f>F36-'Sources and basis'!C79</f>
        <v>0</v>
      </c>
      <c r="D94" s="139"/>
      <c r="E94" s="139"/>
      <c r="F94" s="139"/>
      <c r="G94" s="3"/>
    </row>
    <row r="95" ht="19.5" customHeight="1">
      <c r="A95" s="3" t="s">
        <v>1039</v>
      </c>
      <c r="B95" s="216">
        <f>C38-'Sources and basis'!B80</f>
        <v>0</v>
      </c>
      <c r="C95" s="216">
        <f>F38-'Sources and basis'!C80</f>
        <v>0</v>
      </c>
      <c r="D95" s="139"/>
      <c r="E95" s="139"/>
      <c r="F95" s="139"/>
      <c r="G95" s="3"/>
    </row>
    <row r="96" ht="19.5" customHeight="1">
      <c r="A96" s="3"/>
      <c r="B96" s="3"/>
      <c r="C96" s="3"/>
      <c r="D96" s="3"/>
      <c r="E96" s="3"/>
      <c r="F96" s="3"/>
      <c r="G96" s="3"/>
    </row>
    <row r="97" ht="19.5" customHeight="1">
      <c r="A97" s="3"/>
      <c r="B97" s="3"/>
      <c r="C97" s="3"/>
      <c r="D97" s="3"/>
      <c r="E97" s="3"/>
      <c r="F97" s="3"/>
      <c r="G97" s="3"/>
    </row>
    <row r="98" ht="19.5" customHeight="1">
      <c r="A98" s="209" t="s">
        <v>1094</v>
      </c>
      <c r="B98" s="209" t="s">
        <v>1095</v>
      </c>
      <c r="C98" s="209" t="s">
        <v>1096</v>
      </c>
      <c r="D98" s="209" t="s">
        <v>1097</v>
      </c>
      <c r="E98" s="209" t="s">
        <v>1017</v>
      </c>
      <c r="F98" s="209" t="s">
        <v>1018</v>
      </c>
      <c r="G98" s="209" t="s">
        <v>1098</v>
      </c>
    </row>
    <row r="99" ht="19.5" customHeight="1">
      <c r="A99" s="3" t="s">
        <v>609</v>
      </c>
      <c r="B99" s="4">
        <f>'Sources and basis'!B61</f>
        <v>257637</v>
      </c>
      <c r="C99" s="4">
        <f>'Sources and basis'!C61</f>
        <v>282836</v>
      </c>
      <c r="D99" s="4">
        <f>'Sources and basis'!D61</f>
        <v>307394</v>
      </c>
      <c r="E99" s="4">
        <f>'Sources and basis'!E61</f>
        <v>350018</v>
      </c>
      <c r="F99" s="4">
        <f>'Sources and basis'!F61</f>
        <v>402836</v>
      </c>
      <c r="G99" s="29">
        <f t="shared" ref="G99:G103" si="31">(F99/B99)^(1/4)-1</f>
        <v>0.118227093</v>
      </c>
    </row>
    <row r="100" ht="19.5" customHeight="1">
      <c r="A100" s="3" t="s">
        <v>1099</v>
      </c>
      <c r="B100" s="4">
        <f>'Sources and basis'!B62</f>
        <v>78714</v>
      </c>
      <c r="C100" s="4">
        <f>'Sources and basis'!C62</f>
        <v>74842</v>
      </c>
      <c r="D100" s="4">
        <f>'Sources and basis'!D62</f>
        <v>84293</v>
      </c>
      <c r="E100" s="4">
        <f>'Sources and basis'!E62</f>
        <v>112390</v>
      </c>
      <c r="F100" s="4">
        <f>'Sources and basis'!F62</f>
        <v>129039</v>
      </c>
      <c r="G100" s="29">
        <f t="shared" si="31"/>
        <v>0.1315330713</v>
      </c>
    </row>
    <row r="101" ht="19.5" customHeight="1">
      <c r="A101" s="3" t="s">
        <v>1100</v>
      </c>
      <c r="B101" s="4">
        <f>'Sources and basis'!B63</f>
        <v>237529</v>
      </c>
      <c r="C101" s="4">
        <f>'Sources and basis'!C63</f>
        <v>253528</v>
      </c>
      <c r="D101" s="4">
        <f>'Sources and basis'!D63</f>
        <v>272543</v>
      </c>
      <c r="E101" s="4">
        <f>'Sources and basis'!E63</f>
        <v>304930</v>
      </c>
      <c r="F101" s="4">
        <f>'Sources and basis'!F63</f>
        <v>342721</v>
      </c>
      <c r="G101" s="29">
        <f t="shared" si="31"/>
        <v>0.095988555</v>
      </c>
    </row>
    <row r="102" ht="19.5" customHeight="1">
      <c r="A102" s="3" t="s">
        <v>1101</v>
      </c>
      <c r="B102" s="4">
        <f>'Sources and basis'!B64</f>
        <v>88132</v>
      </c>
      <c r="C102" s="4">
        <f>'Sources and basis'!C64</f>
        <v>82699</v>
      </c>
      <c r="D102" s="4">
        <f>'Sources and basis'!D64</f>
        <v>95858</v>
      </c>
      <c r="E102" s="4">
        <f>'Sources and basis'!E64</f>
        <v>121263</v>
      </c>
      <c r="F102" s="4">
        <f>'Sources and basis'!F64</f>
        <v>139404</v>
      </c>
      <c r="G102" s="29">
        <f t="shared" si="31"/>
        <v>0.1214641692</v>
      </c>
    </row>
    <row r="103" ht="19.5" customHeight="1">
      <c r="A103" s="3" t="s">
        <v>1102</v>
      </c>
      <c r="B103" s="4">
        <f>'Sources and basis'!B65</f>
        <v>19206</v>
      </c>
      <c r="C103" s="4">
        <f>'Sources and basis'!C65</f>
        <v>26280</v>
      </c>
      <c r="D103" s="4">
        <f>'Sources and basis'!D65</f>
        <v>33088</v>
      </c>
      <c r="E103" s="4">
        <f>'Sources and basis'!E65</f>
        <v>43229</v>
      </c>
      <c r="F103" s="4">
        <f>'Sources and basis'!F65</f>
        <v>58705</v>
      </c>
      <c r="G103" s="29">
        <f t="shared" si="31"/>
        <v>0.322237719</v>
      </c>
    </row>
    <row r="104" ht="19.5" customHeight="1">
      <c r="A104" s="3" t="s">
        <v>1103</v>
      </c>
      <c r="B104" s="4">
        <f>'Sources and basis'!B66</f>
        <v>-2282</v>
      </c>
      <c r="C104" s="4">
        <f>'Sources and basis'!C66</f>
        <v>-1922</v>
      </c>
      <c r="D104" s="4">
        <f>'Sources and basis'!D66</f>
        <v>1716</v>
      </c>
      <c r="E104" s="4">
        <f>'Sources and basis'!E66</f>
        <v>6112</v>
      </c>
      <c r="F104" s="4">
        <f>'Sources and basis'!F66</f>
        <v>13910</v>
      </c>
      <c r="G104" s="29"/>
    </row>
    <row r="105" ht="19.5" customHeight="1">
      <c r="A105" s="3" t="s">
        <v>1071</v>
      </c>
      <c r="B105" s="4">
        <f>'Sources and basis'!B67</f>
        <v>97599</v>
      </c>
      <c r="C105" s="4">
        <f>'Sources and basis'!C67</f>
        <v>112668</v>
      </c>
      <c r="D105" s="4">
        <f>'Sources and basis'!D67</f>
        <v>134345</v>
      </c>
      <c r="E105" s="4">
        <f>'Sources and basis'!E67</f>
        <v>171036</v>
      </c>
      <c r="F105" s="4">
        <f>'Sources and basis'!F67</f>
        <v>246597</v>
      </c>
      <c r="G105" s="29">
        <f t="shared" ref="G105:G109" si="32">(F105/B105)^(1/4)-1</f>
        <v>0.2607692423</v>
      </c>
    </row>
    <row r="106" ht="19.5" customHeight="1">
      <c r="A106" s="3" t="s">
        <v>1036</v>
      </c>
      <c r="B106" s="4">
        <f>'Sources and basis'!B68</f>
        <v>91652</v>
      </c>
      <c r="C106" s="4">
        <f>'Sources and basis'!C68</f>
        <v>91495</v>
      </c>
      <c r="D106" s="4">
        <f>'Sources and basis'!D68</f>
        <v>101746</v>
      </c>
      <c r="E106" s="4">
        <f>'Sources and basis'!E68</f>
        <v>125299</v>
      </c>
      <c r="F106" s="4">
        <f>'Sources and basis'!F68</f>
        <v>164713</v>
      </c>
      <c r="G106" s="29">
        <f t="shared" si="32"/>
        <v>0.157834491</v>
      </c>
    </row>
    <row r="107" ht="19.5" customHeight="1">
      <c r="A107" s="3" t="s">
        <v>369</v>
      </c>
      <c r="B107" s="4">
        <f>'Sources and basis'!B69</f>
        <v>24640</v>
      </c>
      <c r="C107" s="4">
        <f>'Sources and basis'!C69</f>
        <v>31485</v>
      </c>
      <c r="D107" s="4">
        <f>'Sources and basis'!D69</f>
        <v>32251</v>
      </c>
      <c r="E107" s="4">
        <f>'Sources and basis'!E69</f>
        <v>52535</v>
      </c>
      <c r="F107" s="4">
        <f>'Sources and basis'!F69</f>
        <v>91447</v>
      </c>
      <c r="G107" s="29">
        <f t="shared" si="32"/>
        <v>0.3879767451</v>
      </c>
    </row>
    <row r="108" ht="19.5" customHeight="1">
      <c r="A108" s="3" t="s">
        <v>1038</v>
      </c>
      <c r="B108" s="4">
        <f>'Sources and basis'!B70</f>
        <v>15376</v>
      </c>
      <c r="C108" s="4">
        <f>'Sources and basis'!C70</f>
        <v>19362</v>
      </c>
      <c r="D108" s="4">
        <f>'Sources and basis'!D70</f>
        <v>22460</v>
      </c>
      <c r="E108" s="4">
        <f>'Sources and basis'!E70</f>
        <v>22785</v>
      </c>
      <c r="F108" s="4">
        <f>'Sources and basis'!F70</f>
        <v>24953</v>
      </c>
      <c r="G108" s="29">
        <f t="shared" si="32"/>
        <v>0.128677452</v>
      </c>
    </row>
    <row r="109" ht="19.5" customHeight="1">
      <c r="A109" s="3" t="s">
        <v>1040</v>
      </c>
      <c r="B109" s="4">
        <f>'Sources and basis'!B71</f>
        <v>10273</v>
      </c>
      <c r="C109" s="4">
        <f>'Sources and basis'!C71</f>
        <v>13475</v>
      </c>
      <c r="D109" s="4">
        <f>'Sources and basis'!D71</f>
        <v>11946</v>
      </c>
      <c r="E109" s="4">
        <f>'Sources and basis'!E71</f>
        <v>15311</v>
      </c>
      <c r="F109" s="4">
        <f>'Sources and basis'!F71</f>
        <v>21136</v>
      </c>
      <c r="G109" s="29">
        <f t="shared" si="32"/>
        <v>0.1976540241</v>
      </c>
    </row>
    <row r="110" ht="19.5" customHeight="1">
      <c r="A110" s="3"/>
      <c r="B110" s="3"/>
      <c r="C110" s="3"/>
      <c r="D110" s="3"/>
      <c r="E110" s="3"/>
      <c r="F110" s="3"/>
      <c r="G110" s="3"/>
    </row>
    <row r="111" ht="19.5" customHeight="1">
      <c r="A111" s="3"/>
      <c r="B111" s="3"/>
      <c r="C111" s="3"/>
      <c r="D111" s="3"/>
      <c r="E111" s="3"/>
      <c r="F111" s="3"/>
      <c r="G111" s="3"/>
    </row>
    <row r="112" ht="19.5" customHeight="1">
      <c r="A112" s="3" t="s">
        <v>1037</v>
      </c>
      <c r="B112" s="21">
        <f t="shared" ref="B112:F112" si="33">B106-B107</f>
        <v>67012</v>
      </c>
      <c r="C112" s="21">
        <f t="shared" si="33"/>
        <v>60010</v>
      </c>
      <c r="D112" s="21">
        <f t="shared" si="33"/>
        <v>69495</v>
      </c>
      <c r="E112" s="21">
        <f t="shared" si="33"/>
        <v>72764</v>
      </c>
      <c r="F112" s="21">
        <f t="shared" si="33"/>
        <v>73266</v>
      </c>
      <c r="G112" s="29">
        <f t="shared" ref="G112:G113" si="35">(F112/B112)^(1/4)-1</f>
        <v>0.02255688083</v>
      </c>
    </row>
    <row r="113" ht="19.5" customHeight="1">
      <c r="A113" s="3" t="s">
        <v>1039</v>
      </c>
      <c r="B113" s="21">
        <f t="shared" ref="B113:F113" si="34">B112-B108</f>
        <v>51636</v>
      </c>
      <c r="C113" s="21">
        <f t="shared" si="34"/>
        <v>40648</v>
      </c>
      <c r="D113" s="21">
        <f t="shared" si="34"/>
        <v>47035</v>
      </c>
      <c r="E113" s="21">
        <f t="shared" si="34"/>
        <v>49979</v>
      </c>
      <c r="F113" s="21">
        <f t="shared" si="34"/>
        <v>48313</v>
      </c>
      <c r="G113" s="29">
        <f t="shared" si="35"/>
        <v>-0.01649209839</v>
      </c>
    </row>
    <row r="116">
      <c r="A116" s="217" t="s">
        <v>1104</v>
      </c>
      <c r="B116" s="218" t="s">
        <v>1062</v>
      </c>
      <c r="C116" s="218" t="s">
        <v>1063</v>
      </c>
      <c r="D116" s="219" t="s">
        <v>1064</v>
      </c>
      <c r="E116" s="219" t="s">
        <v>1065</v>
      </c>
    </row>
    <row r="117">
      <c r="A117" s="24" t="s">
        <v>1105</v>
      </c>
      <c r="B117" s="113">
        <f>B16</f>
        <v>350018</v>
      </c>
      <c r="C117" s="113">
        <f>B16+D16-B120</f>
        <v>371399</v>
      </c>
      <c r="D117" s="113">
        <f>C16</f>
        <v>402836</v>
      </c>
      <c r="E117" s="113">
        <f>F16</f>
        <v>445866</v>
      </c>
    </row>
    <row r="118">
      <c r="A118" s="24" t="s">
        <v>1106</v>
      </c>
      <c r="B118" s="113">
        <f>B117*'Financial assets'!$B$30</f>
        <v>7000.36</v>
      </c>
      <c r="C118" s="113">
        <f>C117*'Financial assets'!$B$30</f>
        <v>7427.98</v>
      </c>
      <c r="D118" s="113">
        <f>D117*'Financial assets'!$B$30</f>
        <v>8056.72</v>
      </c>
      <c r="E118" s="113">
        <f>E117*'Financial assets'!$B$30</f>
        <v>8917.32</v>
      </c>
    </row>
    <row r="119">
      <c r="A119" s="22"/>
      <c r="B119" s="113"/>
      <c r="C119" s="113"/>
      <c r="D119" s="113"/>
      <c r="E119" s="113"/>
    </row>
    <row r="120">
      <c r="A120" s="24" t="s">
        <v>1107</v>
      </c>
      <c r="B120" s="220">
        <v>165281.0</v>
      </c>
      <c r="C120" s="113"/>
      <c r="D120" s="113"/>
      <c r="E120" s="113"/>
    </row>
    <row r="124">
      <c r="A124" s="217" t="s">
        <v>1108</v>
      </c>
      <c r="B124" s="217" t="s">
        <v>1018</v>
      </c>
      <c r="C124" s="217" t="s">
        <v>340</v>
      </c>
    </row>
    <row r="125">
      <c r="A125" s="24" t="s">
        <v>1109</v>
      </c>
      <c r="B125" s="113">
        <f>C30</f>
        <v>101940.81</v>
      </c>
      <c r="C125" s="113">
        <f>F30</f>
        <v>116626.12</v>
      </c>
    </row>
    <row r="126">
      <c r="A126" s="24" t="s">
        <v>1040</v>
      </c>
      <c r="B126" s="113">
        <f>C39</f>
        <v>21136</v>
      </c>
      <c r="C126" s="113">
        <f>F39</f>
        <v>25237</v>
      </c>
    </row>
    <row r="127">
      <c r="A127" s="24" t="s">
        <v>1110</v>
      </c>
      <c r="B127" s="113">
        <f>SUM(C46:C47,C49,C51:C52)</f>
        <v>-4553</v>
      </c>
      <c r="C127" s="113">
        <f>SUM(F46:F47,F49,F51:F52)</f>
        <v>-15206</v>
      </c>
    </row>
    <row r="128">
      <c r="A128" s="24" t="s">
        <v>1111</v>
      </c>
      <c r="B128" s="113">
        <f>SUM(B125:B127)-C35</f>
        <v>27076.81</v>
      </c>
      <c r="C128" s="113">
        <f>SUM(C125:C127)-F35</f>
        <v>-5744.88</v>
      </c>
    </row>
    <row r="129">
      <c r="A129" s="24" t="s">
        <v>1112</v>
      </c>
      <c r="B129" s="113">
        <f>C44</f>
        <v>2108</v>
      </c>
      <c r="C129" s="113">
        <f>F44</f>
        <v>4228</v>
      </c>
    </row>
    <row r="130">
      <c r="A130" s="24" t="s">
        <v>1113</v>
      </c>
      <c r="B130" s="113">
        <f>C48</f>
        <v>-4542</v>
      </c>
      <c r="C130" s="113">
        <f>F48</f>
        <v>-11725</v>
      </c>
    </row>
    <row r="131">
      <c r="A131" s="24" t="s">
        <v>1114</v>
      </c>
      <c r="B131" s="113">
        <f>C50</f>
        <v>12939</v>
      </c>
      <c r="C131" s="113">
        <f>F50</f>
        <v>14807</v>
      </c>
    </row>
    <row r="132">
      <c r="A132" s="24" t="s">
        <v>1115</v>
      </c>
      <c r="B132" s="113">
        <f t="shared" ref="B132:C132" si="36">SUM(B129:B131)</f>
        <v>10505</v>
      </c>
      <c r="C132" s="113">
        <f t="shared" si="36"/>
        <v>7310</v>
      </c>
    </row>
    <row r="133">
      <c r="A133" s="24" t="s">
        <v>1116</v>
      </c>
      <c r="B133" s="113">
        <f t="shared" ref="B133:C133" si="37">B128+B132</f>
        <v>37581.81</v>
      </c>
      <c r="C133" s="113">
        <f t="shared" si="37"/>
        <v>1565.12</v>
      </c>
    </row>
    <row r="134">
      <c r="A134" s="24" t="s">
        <v>1117</v>
      </c>
      <c r="B134" s="113">
        <f t="shared" ref="B134:C134" si="38">D118-B118</f>
        <v>1056.36</v>
      </c>
      <c r="C134" s="113">
        <f t="shared" si="38"/>
        <v>1489.34</v>
      </c>
    </row>
    <row r="135">
      <c r="A135" s="24" t="s">
        <v>1118</v>
      </c>
      <c r="B135" s="113">
        <f t="shared" ref="B135:C135" si="39">B133-B134</f>
        <v>36525.45</v>
      </c>
      <c r="C135" s="113">
        <f t="shared" si="39"/>
        <v>75.78</v>
      </c>
    </row>
    <row r="136">
      <c r="A136" s="24" t="s">
        <v>1119</v>
      </c>
      <c r="B136" s="113">
        <f>B133-C59</f>
        <v>0</v>
      </c>
      <c r="C136" s="113">
        <f>C133-F59</f>
        <v>0</v>
      </c>
    </row>
    <row r="138" ht="31.5" customHeight="1">
      <c r="A138" s="136" t="s">
        <v>1120</v>
      </c>
    </row>
    <row r="139" ht="31.5" customHeight="1">
      <c r="A139" s="136" t="s">
        <v>1121</v>
      </c>
    </row>
    <row r="140" ht="31.5" customHeight="1">
      <c r="A140" s="136" t="s">
        <v>1122</v>
      </c>
    </row>
  </sheetData>
  <mergeCells count="8">
    <mergeCell ref="A1:G1"/>
    <mergeCell ref="A2:G2"/>
    <mergeCell ref="A62:G62"/>
    <mergeCell ref="A63:G63"/>
    <mergeCell ref="A86:G86"/>
    <mergeCell ref="A138:G138"/>
    <mergeCell ref="A139:G139"/>
    <mergeCell ref="A140:G140"/>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61.0"/>
    <col customWidth="1" min="2" max="9" width="17.0"/>
    <col customWidth="1" min="10" max="26" width="8.63"/>
  </cols>
  <sheetData>
    <row r="1" ht="33.75" customHeight="1">
      <c r="A1" s="221" t="s">
        <v>1123</v>
      </c>
    </row>
    <row r="2" ht="27.0" customHeight="1">
      <c r="A2" s="222" t="s">
        <v>1124</v>
      </c>
    </row>
    <row r="4" ht="24.75" customHeight="1">
      <c r="A4" s="223" t="s">
        <v>1125</v>
      </c>
      <c r="B4" s="223" t="s">
        <v>1126</v>
      </c>
      <c r="C4" s="224" t="s">
        <v>1127</v>
      </c>
      <c r="D4" s="223" t="s">
        <v>1128</v>
      </c>
      <c r="E4" s="223" t="s">
        <v>1129</v>
      </c>
      <c r="F4" s="223" t="s">
        <v>1130</v>
      </c>
      <c r="G4" s="224" t="s">
        <v>1131</v>
      </c>
      <c r="H4" s="223" t="s">
        <v>1132</v>
      </c>
      <c r="I4" s="223" t="s">
        <v>1133</v>
      </c>
    </row>
    <row r="5" ht="24.75" customHeight="1">
      <c r="A5" s="225" t="s">
        <v>1134</v>
      </c>
      <c r="B5" s="225" t="s">
        <v>1135</v>
      </c>
      <c r="C5" s="225" t="s">
        <v>1136</v>
      </c>
      <c r="D5" s="225" t="s">
        <v>1135</v>
      </c>
      <c r="E5" s="225" t="s">
        <v>1135</v>
      </c>
      <c r="F5" s="225" t="s">
        <v>1135</v>
      </c>
      <c r="G5" s="225" t="s">
        <v>1136</v>
      </c>
      <c r="H5" s="225" t="s">
        <v>1135</v>
      </c>
      <c r="I5" s="225" t="s">
        <v>1135</v>
      </c>
    </row>
    <row r="7" ht="24.75" customHeight="1">
      <c r="A7" s="226" t="s">
        <v>609</v>
      </c>
      <c r="B7" s="226"/>
      <c r="C7" s="226"/>
      <c r="D7" s="226"/>
      <c r="E7" s="226"/>
      <c r="F7" s="226"/>
      <c r="G7" s="226"/>
      <c r="H7" s="226"/>
      <c r="I7" s="226"/>
    </row>
    <row r="8" ht="21.75" customHeight="1">
      <c r="A8" s="227" t="s">
        <v>1137</v>
      </c>
      <c r="B8" s="228">
        <v>88268.0</v>
      </c>
      <c r="C8" s="228">
        <v>350018.0</v>
      </c>
      <c r="D8" s="228">
        <v>90234.0</v>
      </c>
      <c r="E8" s="228">
        <v>96428.0</v>
      </c>
      <c r="F8" s="228">
        <v>102346.0</v>
      </c>
      <c r="G8" s="228">
        <v>402836.0</v>
      </c>
      <c r="H8" s="228">
        <v>109896.0</v>
      </c>
      <c r="I8" s="228">
        <v>119796.0</v>
      </c>
    </row>
    <row r="10" ht="24.75" customHeight="1">
      <c r="A10" s="226" t="s">
        <v>1138</v>
      </c>
      <c r="B10" s="226"/>
      <c r="C10" s="226"/>
      <c r="D10" s="226"/>
      <c r="E10" s="226"/>
      <c r="F10" s="226"/>
      <c r="G10" s="226"/>
      <c r="H10" s="226"/>
      <c r="I10" s="226"/>
    </row>
    <row r="11" ht="21.75" customHeight="1">
      <c r="A11" s="227" t="s">
        <v>1139</v>
      </c>
      <c r="B11" s="228">
        <v>36474.0</v>
      </c>
      <c r="C11" s="228">
        <v>146306.0</v>
      </c>
      <c r="D11" s="228">
        <v>36361.0</v>
      </c>
      <c r="E11" s="228">
        <v>39039.0</v>
      </c>
      <c r="F11" s="228">
        <v>41369.0</v>
      </c>
      <c r="G11" s="228">
        <v>162535.0</v>
      </c>
      <c r="H11" s="228">
        <v>41271.0</v>
      </c>
      <c r="I11" s="228">
        <v>45943.0</v>
      </c>
    </row>
    <row r="12" ht="21.75" customHeight="1">
      <c r="A12" s="227" t="s">
        <v>1140</v>
      </c>
      <c r="B12" s="228">
        <v>12447.0</v>
      </c>
      <c r="C12" s="228">
        <v>49326.0</v>
      </c>
      <c r="D12" s="228">
        <v>13556.0</v>
      </c>
      <c r="E12" s="228">
        <v>13808.0</v>
      </c>
      <c r="F12" s="228">
        <v>15151.0</v>
      </c>
      <c r="G12" s="228">
        <v>61087.0</v>
      </c>
      <c r="H12" s="228">
        <v>17032.0</v>
      </c>
      <c r="I12" s="228">
        <v>18219.0</v>
      </c>
    </row>
    <row r="13" ht="21.75" customHeight="1">
      <c r="A13" s="227" t="s">
        <v>1141</v>
      </c>
      <c r="B13" s="228">
        <v>7227.0</v>
      </c>
      <c r="C13" s="228">
        <v>27808.0</v>
      </c>
      <c r="D13" s="228">
        <v>6172.0</v>
      </c>
      <c r="E13" s="228">
        <v>7101.0</v>
      </c>
      <c r="F13" s="228">
        <v>7205.0</v>
      </c>
      <c r="G13" s="228">
        <v>28693.0</v>
      </c>
      <c r="H13" s="228">
        <v>7606.0</v>
      </c>
      <c r="I13" s="228">
        <v>8403.0</v>
      </c>
    </row>
    <row r="14" ht="21.75" customHeight="1">
      <c r="A14" s="227" t="s">
        <v>1142</v>
      </c>
      <c r="B14" s="228">
        <v>3599.0</v>
      </c>
      <c r="C14" s="228">
        <v>14188.0</v>
      </c>
      <c r="D14" s="228">
        <v>3539.0</v>
      </c>
      <c r="E14" s="228">
        <v>5209.0</v>
      </c>
      <c r="F14" s="228">
        <v>7393.0</v>
      </c>
      <c r="G14" s="228">
        <v>21482.0</v>
      </c>
      <c r="H14" s="228">
        <v>4291.0</v>
      </c>
      <c r="I14" s="228">
        <v>6461.0</v>
      </c>
    </row>
    <row r="15" ht="21.75" customHeight="1">
      <c r="A15" s="229" t="s">
        <v>1143</v>
      </c>
      <c r="B15" s="230">
        <v>59747.0</v>
      </c>
      <c r="C15" s="230">
        <v>237628.0</v>
      </c>
      <c r="D15" s="230">
        <v>59628.0</v>
      </c>
      <c r="E15" s="230">
        <v>65157.0</v>
      </c>
      <c r="F15" s="230">
        <v>71118.0</v>
      </c>
      <c r="G15" s="230">
        <v>273797.0</v>
      </c>
      <c r="H15" s="230">
        <v>70200.0</v>
      </c>
      <c r="I15" s="230">
        <v>79026.0</v>
      </c>
    </row>
    <row r="16" ht="21.75" customHeight="1">
      <c r="A16" s="229" t="s">
        <v>1144</v>
      </c>
      <c r="B16" s="230">
        <v>28521.0</v>
      </c>
      <c r="C16" s="230">
        <v>112390.0</v>
      </c>
      <c r="D16" s="230">
        <v>30606.0</v>
      </c>
      <c r="E16" s="230">
        <v>31271.0</v>
      </c>
      <c r="F16" s="230">
        <v>31228.0</v>
      </c>
      <c r="G16" s="230">
        <v>129039.0</v>
      </c>
      <c r="H16" s="230">
        <v>39696.0</v>
      </c>
      <c r="I16" s="230">
        <v>40770.0</v>
      </c>
    </row>
    <row r="18" ht="24.75" customHeight="1">
      <c r="A18" s="226" t="s">
        <v>1145</v>
      </c>
      <c r="B18" s="226"/>
      <c r="C18" s="226"/>
      <c r="D18" s="226"/>
      <c r="E18" s="226"/>
      <c r="F18" s="226"/>
      <c r="G18" s="226"/>
      <c r="H18" s="226"/>
      <c r="I18" s="226"/>
    </row>
    <row r="19" ht="21.75" customHeight="1">
      <c r="A19" s="227" t="s">
        <v>1146</v>
      </c>
      <c r="B19" s="228">
        <v>3185.0</v>
      </c>
      <c r="C19" s="228">
        <v>7425.0</v>
      </c>
      <c r="D19" s="228">
        <v>11183.0</v>
      </c>
      <c r="E19" s="228">
        <v>2662.0</v>
      </c>
      <c r="F19" s="228">
        <v>12759.0</v>
      </c>
      <c r="G19" s="228">
        <v>29787.0</v>
      </c>
      <c r="H19" s="228">
        <v>37716.0</v>
      </c>
      <c r="I19" s="228">
        <v>97983.0</v>
      </c>
    </row>
    <row r="20" ht="21.75" customHeight="1">
      <c r="A20" s="227" t="s">
        <v>1147</v>
      </c>
      <c r="B20" s="228">
        <v>31706.0</v>
      </c>
      <c r="C20" s="228">
        <v>119815.0</v>
      </c>
      <c r="D20" s="228">
        <v>41789.0</v>
      </c>
      <c r="E20" s="228">
        <v>33933.0</v>
      </c>
      <c r="F20" s="228">
        <v>43987.0</v>
      </c>
      <c r="G20" s="228">
        <v>158826.0</v>
      </c>
      <c r="H20" s="228">
        <v>77412.0</v>
      </c>
      <c r="I20" s="228">
        <v>138753.0</v>
      </c>
    </row>
    <row r="21" ht="21.75" customHeight="1">
      <c r="A21" s="227" t="s">
        <v>1148</v>
      </c>
      <c r="B21" s="228">
        <v>5405.0</v>
      </c>
      <c r="C21" s="228">
        <v>19697.0</v>
      </c>
      <c r="D21" s="228">
        <v>7249.0</v>
      </c>
      <c r="E21" s="228">
        <v>5737.0</v>
      </c>
      <c r="F21" s="228">
        <v>9008.0</v>
      </c>
      <c r="G21" s="228">
        <v>26656.0</v>
      </c>
      <c r="H21" s="228">
        <v>14834.0</v>
      </c>
      <c r="I21" s="228">
        <v>26560.0</v>
      </c>
    </row>
    <row r="22" ht="21.75" customHeight="1">
      <c r="A22" s="229" t="s">
        <v>1041</v>
      </c>
      <c r="B22" s="230">
        <v>26301.0</v>
      </c>
      <c r="C22" s="230">
        <v>100118.0</v>
      </c>
      <c r="D22" s="230">
        <v>34540.0</v>
      </c>
      <c r="E22" s="230">
        <v>28196.0</v>
      </c>
      <c r="F22" s="230">
        <v>34979.0</v>
      </c>
      <c r="G22" s="230">
        <v>132170.0</v>
      </c>
      <c r="H22" s="230">
        <v>62578.0</v>
      </c>
      <c r="I22" s="230">
        <v>112193.0</v>
      </c>
    </row>
    <row r="23"/>
    <row r="24" ht="24.75" customHeight="1">
      <c r="A24" s="226" t="s">
        <v>1149</v>
      </c>
      <c r="B24" s="226"/>
      <c r="C24" s="226"/>
      <c r="D24" s="226"/>
      <c r="E24" s="226"/>
      <c r="F24" s="226"/>
      <c r="G24" s="226"/>
      <c r="H24" s="226"/>
      <c r="I24" s="226"/>
    </row>
    <row r="25" ht="21.75" customHeight="1">
      <c r="A25" s="227" t="s">
        <v>1150</v>
      </c>
      <c r="B25" s="228"/>
      <c r="C25" s="228"/>
      <c r="D25" s="228"/>
      <c r="E25" s="228"/>
      <c r="F25" s="228"/>
      <c r="G25" s="228"/>
      <c r="H25" s="228"/>
      <c r="I25" s="228">
        <v>86.0</v>
      </c>
    </row>
    <row r="26" ht="21.75" customHeight="1">
      <c r="A26" s="227" t="s">
        <v>1151</v>
      </c>
      <c r="B26" s="228"/>
      <c r="C26" s="228"/>
      <c r="D26" s="228"/>
      <c r="E26" s="228"/>
      <c r="F26" s="228"/>
      <c r="G26" s="228"/>
      <c r="H26" s="228"/>
      <c r="I26" s="228">
        <v>112107.0</v>
      </c>
    </row>
    <row r="27" ht="21.75" customHeight="1">
      <c r="A27" s="227" t="s">
        <v>1152</v>
      </c>
      <c r="B27" s="231">
        <v>2.14</v>
      </c>
      <c r="C27" s="231">
        <v>8.13</v>
      </c>
      <c r="D27" s="231">
        <v>2.84</v>
      </c>
      <c r="E27" s="231">
        <v>2.33</v>
      </c>
      <c r="F27" s="231">
        <v>2.89</v>
      </c>
      <c r="G27" s="231">
        <v>10.91</v>
      </c>
      <c r="H27" s="231">
        <v>5.17</v>
      </c>
      <c r="I27" s="231">
        <v>9.23</v>
      </c>
    </row>
    <row r="28" ht="21.75" customHeight="1">
      <c r="A28" s="227" t="s">
        <v>1153</v>
      </c>
      <c r="B28" s="231">
        <v>2.12</v>
      </c>
      <c r="C28" s="231">
        <v>8.04</v>
      </c>
      <c r="D28" s="231">
        <v>2.81</v>
      </c>
      <c r="E28" s="231">
        <v>2.31</v>
      </c>
      <c r="F28" s="231">
        <v>2.87</v>
      </c>
      <c r="G28" s="231">
        <v>10.81</v>
      </c>
      <c r="H28" s="231">
        <v>5.11</v>
      </c>
      <c r="I28" s="231">
        <v>9.11</v>
      </c>
    </row>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65.0"/>
    <col customWidth="1" min="2" max="9" width="17.0"/>
    <col customWidth="1" min="10" max="26" width="8.63"/>
  </cols>
  <sheetData>
    <row r="1" ht="33.75" customHeight="1">
      <c r="A1" s="221" t="s">
        <v>1154</v>
      </c>
    </row>
    <row r="2" ht="27.0" customHeight="1">
      <c r="A2" s="222" t="s">
        <v>1155</v>
      </c>
    </row>
    <row r="4" ht="24.75" customHeight="1">
      <c r="A4" s="223" t="s">
        <v>1125</v>
      </c>
      <c r="B4" s="223" t="s">
        <v>1126</v>
      </c>
      <c r="C4" s="223" t="s">
        <v>1127</v>
      </c>
      <c r="D4" s="223" t="s">
        <v>1128</v>
      </c>
      <c r="E4" s="223" t="s">
        <v>1129</v>
      </c>
      <c r="F4" s="223" t="s">
        <v>1130</v>
      </c>
      <c r="G4" s="223" t="s">
        <v>1131</v>
      </c>
      <c r="H4" s="223" t="s">
        <v>1132</v>
      </c>
      <c r="I4" s="223" t="s">
        <v>1133</v>
      </c>
    </row>
    <row r="5" ht="24.75" customHeight="1">
      <c r="A5" s="225" t="s">
        <v>1134</v>
      </c>
      <c r="B5" s="225" t="s">
        <v>1156</v>
      </c>
      <c r="C5" s="225" t="s">
        <v>1157</v>
      </c>
      <c r="D5" s="225" t="s">
        <v>1158</v>
      </c>
      <c r="E5" s="225" t="s">
        <v>1159</v>
      </c>
      <c r="F5" s="225" t="s">
        <v>1160</v>
      </c>
      <c r="G5" s="225" t="s">
        <v>1161</v>
      </c>
      <c r="H5" s="225" t="s">
        <v>1162</v>
      </c>
      <c r="I5" s="225" t="s">
        <v>1163</v>
      </c>
    </row>
    <row r="7" ht="24.75" customHeight="1">
      <c r="A7" s="226" t="s">
        <v>1164</v>
      </c>
      <c r="B7" s="226"/>
      <c r="C7" s="226"/>
      <c r="D7" s="226"/>
      <c r="E7" s="226"/>
      <c r="F7" s="226"/>
      <c r="G7" s="226"/>
      <c r="H7" s="226"/>
      <c r="I7" s="226"/>
    </row>
    <row r="8" ht="21.75" customHeight="1">
      <c r="A8" s="227" t="s">
        <v>1165</v>
      </c>
      <c r="B8" s="228">
        <v>19959.0</v>
      </c>
      <c r="C8" s="228">
        <v>23466.0</v>
      </c>
      <c r="D8" s="228">
        <v>23264.0</v>
      </c>
      <c r="E8" s="228">
        <v>21036.0</v>
      </c>
      <c r="F8" s="228">
        <v>23090.0</v>
      </c>
      <c r="G8" s="228">
        <v>30708.0</v>
      </c>
      <c r="H8" s="228">
        <v>38063.0</v>
      </c>
      <c r="I8" s="228">
        <v>55911.0</v>
      </c>
    </row>
    <row r="9" ht="21.75" customHeight="1">
      <c r="A9" s="227" t="s">
        <v>1166</v>
      </c>
      <c r="B9" s="228">
        <v>73271.0</v>
      </c>
      <c r="C9" s="228">
        <v>72191.0</v>
      </c>
      <c r="D9" s="228">
        <v>72064.0</v>
      </c>
      <c r="E9" s="228">
        <v>74112.0</v>
      </c>
      <c r="F9" s="228">
        <v>75406.0</v>
      </c>
      <c r="G9" s="228">
        <v>96135.0</v>
      </c>
      <c r="H9" s="228">
        <v>88777.0</v>
      </c>
      <c r="I9" s="228">
        <v>186563.0</v>
      </c>
    </row>
    <row r="10" ht="21.75" customHeight="1">
      <c r="A10" s="229" t="s">
        <v>1167</v>
      </c>
      <c r="B10" s="230">
        <v>93230.0</v>
      </c>
      <c r="C10" s="230">
        <v>95657.0</v>
      </c>
      <c r="D10" s="230">
        <v>95328.0</v>
      </c>
      <c r="E10" s="230">
        <v>95148.0</v>
      </c>
      <c r="F10" s="230">
        <v>98496.0</v>
      </c>
      <c r="G10" s="230">
        <v>126843.0</v>
      </c>
      <c r="H10" s="230">
        <v>126840.0</v>
      </c>
      <c r="I10" s="230">
        <v>242474.0</v>
      </c>
    </row>
    <row r="11" ht="21.75" customHeight="1">
      <c r="A11" s="227" t="s">
        <v>1168</v>
      </c>
      <c r="B11" s="228">
        <v>49104.0</v>
      </c>
      <c r="C11" s="228">
        <v>52340.0</v>
      </c>
      <c r="D11" s="228">
        <v>51000.0</v>
      </c>
      <c r="E11" s="228">
        <v>55048.0</v>
      </c>
      <c r="F11" s="228">
        <v>57148.0</v>
      </c>
      <c r="G11" s="228">
        <v>62886.0</v>
      </c>
      <c r="H11" s="228">
        <v>62999.0</v>
      </c>
      <c r="I11" s="228">
        <v>69175.0</v>
      </c>
    </row>
    <row r="12" ht="21.75" customHeight="1">
      <c r="A12" s="227" t="s">
        <v>446</v>
      </c>
      <c r="B12" s="228"/>
      <c r="C12" s="228"/>
      <c r="D12" s="228"/>
      <c r="E12" s="228"/>
      <c r="F12" s="228"/>
      <c r="G12" s="228"/>
      <c r="H12" s="228"/>
      <c r="I12" s="228">
        <v>9991.0</v>
      </c>
    </row>
    <row r="13" ht="21.75" customHeight="1">
      <c r="A13" s="227" t="s">
        <v>1169</v>
      </c>
      <c r="B13" s="228">
        <v>15207.0</v>
      </c>
      <c r="C13" s="228">
        <v>15714.0</v>
      </c>
      <c r="D13" s="228">
        <v>15724.0</v>
      </c>
      <c r="E13" s="228">
        <v>16020.0</v>
      </c>
      <c r="F13" s="228">
        <v>18303.0</v>
      </c>
      <c r="G13" s="228">
        <v>16309.0</v>
      </c>
      <c r="H13" s="228">
        <v>23914.0</v>
      </c>
      <c r="I13" s="228">
        <v>21884.0</v>
      </c>
    </row>
    <row r="14" ht="21.75" customHeight="1">
      <c r="A14" s="229" t="s">
        <v>1170</v>
      </c>
      <c r="B14" s="230">
        <v>157541.0</v>
      </c>
      <c r="C14" s="230">
        <v>163711.0</v>
      </c>
      <c r="D14" s="230">
        <v>162052.0</v>
      </c>
      <c r="E14" s="230">
        <v>166216.0</v>
      </c>
      <c r="F14" s="230">
        <v>173947.0</v>
      </c>
      <c r="G14" s="230">
        <v>206038.0</v>
      </c>
      <c r="H14" s="230">
        <v>213753.0</v>
      </c>
      <c r="I14" s="230">
        <v>343524.0</v>
      </c>
    </row>
    <row r="16" ht="24.75" customHeight="1">
      <c r="A16" s="226" t="s">
        <v>1171</v>
      </c>
      <c r="B16" s="226"/>
      <c r="C16" s="226"/>
      <c r="D16" s="226"/>
      <c r="E16" s="226"/>
      <c r="F16" s="226"/>
      <c r="G16" s="226"/>
      <c r="H16" s="226"/>
      <c r="I16" s="226"/>
    </row>
    <row r="17" ht="21.75" customHeight="1">
      <c r="A17" s="227" t="s">
        <v>1172</v>
      </c>
      <c r="B17" s="228">
        <v>36177.0</v>
      </c>
      <c r="C17" s="228">
        <v>37982.0</v>
      </c>
      <c r="D17" s="228">
        <v>51029.0</v>
      </c>
      <c r="E17" s="228">
        <v>52574.0</v>
      </c>
      <c r="F17" s="228">
        <v>63800.0</v>
      </c>
      <c r="G17" s="228">
        <v>68687.0</v>
      </c>
      <c r="H17" s="228">
        <v>106946.0</v>
      </c>
      <c r="I17" s="228">
        <v>131461.0</v>
      </c>
    </row>
    <row r="18" ht="21.75" customHeight="1">
      <c r="A18" s="227" t="s">
        <v>1173</v>
      </c>
      <c r="B18" s="228">
        <v>15915.0</v>
      </c>
      <c r="C18" s="228">
        <v>17180.0</v>
      </c>
      <c r="D18" s="228">
        <v>18386.0</v>
      </c>
      <c r="E18" s="228">
        <v>19289.0</v>
      </c>
      <c r="F18" s="228">
        <v>10331.0</v>
      </c>
      <c r="G18" s="228">
        <v>9113.0</v>
      </c>
      <c r="H18" s="228">
        <v>1995.0</v>
      </c>
      <c r="I18" s="228">
        <v>1448.0</v>
      </c>
    </row>
    <row r="19" ht="21.75" customHeight="1">
      <c r="A19" s="227" t="s">
        <v>1174</v>
      </c>
      <c r="B19" s="228">
        <v>161270.0</v>
      </c>
      <c r="C19" s="228">
        <v>171036.0</v>
      </c>
      <c r="D19" s="228">
        <v>185062.0</v>
      </c>
      <c r="E19" s="228">
        <v>203231.0</v>
      </c>
      <c r="F19" s="228">
        <v>223787.0</v>
      </c>
      <c r="G19" s="228">
        <v>246597.0</v>
      </c>
      <c r="H19" s="228">
        <v>281020.0</v>
      </c>
      <c r="I19" s="228">
        <v>321212.0</v>
      </c>
    </row>
    <row r="20" ht="21.75" customHeight="1">
      <c r="A20" s="227" t="s">
        <v>1175</v>
      </c>
      <c r="B20" s="228">
        <v>13561.0</v>
      </c>
      <c r="C20" s="228">
        <v>13588.0</v>
      </c>
      <c r="D20" s="228">
        <v>13722.0</v>
      </c>
      <c r="E20" s="228">
        <v>14255.0</v>
      </c>
      <c r="F20" s="228">
        <v>14524.0</v>
      </c>
      <c r="G20" s="228">
        <v>15221.0</v>
      </c>
      <c r="H20" s="228">
        <v>15509.0</v>
      </c>
      <c r="I20" s="228">
        <v>17694.0</v>
      </c>
    </row>
    <row r="21" ht="21.75" customHeight="1">
      <c r="A21" s="227" t="s">
        <v>1176</v>
      </c>
      <c r="B21" s="228">
        <v>31935.0</v>
      </c>
      <c r="C21" s="228">
        <v>31885.0</v>
      </c>
      <c r="D21" s="228">
        <v>32173.0</v>
      </c>
      <c r="E21" s="228">
        <v>32335.0</v>
      </c>
      <c r="F21" s="228">
        <v>33269.0</v>
      </c>
      <c r="G21" s="228">
        <v>33380.0</v>
      </c>
      <c r="H21" s="228">
        <v>57774.0</v>
      </c>
      <c r="I21" s="228">
        <v>57828.0</v>
      </c>
    </row>
    <row r="22" ht="21.75" customHeight="1">
      <c r="A22" s="227" t="s">
        <v>1177</v>
      </c>
      <c r="B22" s="228"/>
      <c r="C22" s="228"/>
      <c r="D22" s="228"/>
      <c r="E22" s="228"/>
      <c r="F22" s="228"/>
      <c r="G22" s="228"/>
      <c r="H22" s="228">
        <v>9444.0</v>
      </c>
      <c r="I22" s="228">
        <v>9105.0</v>
      </c>
    </row>
    <row r="23" ht="21.75" customHeight="1">
      <c r="A23" s="227" t="s">
        <v>1178</v>
      </c>
      <c r="B23" s="228">
        <v>13867.0</v>
      </c>
      <c r="C23" s="228">
        <v>14874.0</v>
      </c>
      <c r="D23" s="228">
        <v>12950.0</v>
      </c>
      <c r="E23" s="228">
        <v>14153.0</v>
      </c>
      <c r="F23" s="228">
        <v>16811.0</v>
      </c>
      <c r="G23" s="228">
        <v>16245.0</v>
      </c>
      <c r="H23" s="228">
        <v>17478.0</v>
      </c>
      <c r="I23" s="228">
        <v>39711.0</v>
      </c>
    </row>
    <row r="24" ht="21.75" customHeight="1">
      <c r="A24" s="229" t="s">
        <v>1179</v>
      </c>
      <c r="B24" s="230">
        <v>430266.0</v>
      </c>
      <c r="C24" s="230">
        <v>450256.0</v>
      </c>
      <c r="D24" s="230">
        <v>475374.0</v>
      </c>
      <c r="E24" s="230">
        <v>502053.0</v>
      </c>
      <c r="F24" s="230">
        <v>536469.0</v>
      </c>
      <c r="G24" s="230">
        <v>595281.0</v>
      </c>
      <c r="H24" s="230">
        <v>703919.0</v>
      </c>
      <c r="I24" s="230">
        <v>921983.0</v>
      </c>
    </row>
    <row r="25"/>
    <row r="26" ht="24.75" customHeight="1">
      <c r="A26" s="226" t="s">
        <v>1067</v>
      </c>
      <c r="B26" s="226"/>
      <c r="C26" s="226"/>
      <c r="D26" s="226"/>
      <c r="E26" s="226"/>
      <c r="F26" s="226"/>
      <c r="G26" s="226"/>
      <c r="H26" s="226"/>
      <c r="I26" s="226"/>
    </row>
    <row r="27" ht="21.75" customHeight="1">
      <c r="A27" s="227" t="s">
        <v>1180</v>
      </c>
      <c r="B27" s="228">
        <v>7049.0</v>
      </c>
      <c r="C27" s="228">
        <v>7987.0</v>
      </c>
      <c r="D27" s="228">
        <v>8497.0</v>
      </c>
      <c r="E27" s="228">
        <v>8347.0</v>
      </c>
      <c r="F27" s="228">
        <v>10546.0</v>
      </c>
      <c r="G27" s="228">
        <v>12200.0</v>
      </c>
      <c r="H27" s="228">
        <v>16852.0</v>
      </c>
      <c r="I27" s="228">
        <v>20258.0</v>
      </c>
    </row>
    <row r="28" ht="21.75" customHeight="1">
      <c r="A28" s="227" t="s">
        <v>1181</v>
      </c>
      <c r="B28" s="228">
        <v>12908.0</v>
      </c>
      <c r="C28" s="228">
        <v>15069.0</v>
      </c>
      <c r="D28" s="228">
        <v>9984.0</v>
      </c>
      <c r="E28" s="228">
        <v>12168.0</v>
      </c>
      <c r="F28" s="228">
        <v>13944.0</v>
      </c>
      <c r="G28" s="228">
        <v>17546.0</v>
      </c>
      <c r="H28" s="228">
        <v>13947.0</v>
      </c>
      <c r="I28" s="228">
        <v>15086.0</v>
      </c>
    </row>
    <row r="29" ht="21.75" customHeight="1">
      <c r="A29" s="227" t="s">
        <v>1182</v>
      </c>
      <c r="B29" s="228">
        <v>46585.0</v>
      </c>
      <c r="C29" s="228">
        <v>51228.0</v>
      </c>
      <c r="D29" s="228">
        <v>58300.0</v>
      </c>
      <c r="E29" s="228">
        <v>52039.0</v>
      </c>
      <c r="F29" s="228">
        <v>59437.0</v>
      </c>
      <c r="G29" s="228">
        <v>55557.0</v>
      </c>
      <c r="H29" s="228">
        <v>63019.0</v>
      </c>
      <c r="I29" s="228">
        <v>73014.0</v>
      </c>
    </row>
    <row r="30" ht="21.75" customHeight="1">
      <c r="A30" s="227" t="s">
        <v>455</v>
      </c>
      <c r="B30" s="228">
        <v>9365.0</v>
      </c>
      <c r="C30" s="228">
        <v>9802.0</v>
      </c>
      <c r="D30" s="228">
        <v>9965.0</v>
      </c>
      <c r="E30" s="228">
        <v>9787.0</v>
      </c>
      <c r="F30" s="228">
        <v>10081.0</v>
      </c>
      <c r="G30" s="228">
        <v>10864.0</v>
      </c>
      <c r="H30" s="228">
        <v>10208.0</v>
      </c>
      <c r="I30" s="228">
        <v>10599.0</v>
      </c>
    </row>
    <row r="31" ht="21.75" customHeight="1">
      <c r="A31" s="227" t="s">
        <v>456</v>
      </c>
      <c r="B31" s="228">
        <v>4896.0</v>
      </c>
      <c r="C31" s="228">
        <v>5036.0</v>
      </c>
      <c r="D31" s="228">
        <v>4908.0</v>
      </c>
      <c r="E31" s="228">
        <v>4969.0</v>
      </c>
      <c r="F31" s="228">
        <v>5542.0</v>
      </c>
      <c r="G31" s="228">
        <v>6578.0</v>
      </c>
      <c r="H31" s="228">
        <v>7162.0</v>
      </c>
      <c r="I31" s="228">
        <v>7154.0</v>
      </c>
    </row>
    <row r="32" ht="21.75" customHeight="1">
      <c r="A32" s="229" t="s">
        <v>1183</v>
      </c>
      <c r="B32" s="230">
        <v>80803.0</v>
      </c>
      <c r="C32" s="230">
        <v>89122.0</v>
      </c>
      <c r="D32" s="230">
        <v>91654.0</v>
      </c>
      <c r="E32" s="230">
        <v>87310.0</v>
      </c>
      <c r="F32" s="230">
        <v>99550.0</v>
      </c>
      <c r="G32" s="230">
        <v>102745.0</v>
      </c>
      <c r="H32" s="230">
        <v>111188.0</v>
      </c>
      <c r="I32" s="230">
        <v>126111.0</v>
      </c>
    </row>
    <row r="33"/>
    <row r="34" ht="24.75" customHeight="1">
      <c r="A34" s="226" t="s">
        <v>1184</v>
      </c>
      <c r="B34" s="226"/>
      <c r="C34" s="226"/>
      <c r="D34" s="226"/>
      <c r="E34" s="226"/>
      <c r="F34" s="226"/>
      <c r="G34" s="226"/>
      <c r="H34" s="226"/>
      <c r="I34" s="226"/>
    </row>
    <row r="35" ht="21.75" customHeight="1">
      <c r="A35" s="227" t="s">
        <v>1185</v>
      </c>
      <c r="B35" s="228">
        <v>12297.0</v>
      </c>
      <c r="C35" s="228">
        <v>10883.0</v>
      </c>
      <c r="D35" s="228">
        <v>10886.0</v>
      </c>
      <c r="E35" s="228">
        <v>23607.0</v>
      </c>
      <c r="F35" s="228">
        <v>21607.0</v>
      </c>
      <c r="G35" s="228">
        <v>46547.0</v>
      </c>
      <c r="H35" s="228">
        <v>77501.0</v>
      </c>
      <c r="I35" s="228">
        <v>98165.0</v>
      </c>
    </row>
    <row r="36" ht="21.75" customHeight="1">
      <c r="A36" s="227" t="s">
        <v>1186</v>
      </c>
      <c r="B36" s="228">
        <v>1015.0</v>
      </c>
      <c r="C36" s="228"/>
      <c r="D36" s="228"/>
      <c r="E36" s="228"/>
      <c r="F36" s="228"/>
      <c r="G36" s="228"/>
      <c r="H36" s="228"/>
      <c r="I36" s="228"/>
    </row>
    <row r="37" ht="21.75" customHeight="1">
      <c r="A37" s="227" t="s">
        <v>1187</v>
      </c>
      <c r="B37" s="228">
        <v>8219.0</v>
      </c>
      <c r="C37" s="228">
        <v>8782.0</v>
      </c>
      <c r="D37" s="228">
        <v>9773.0</v>
      </c>
      <c r="E37" s="228">
        <v>10027.0</v>
      </c>
      <c r="F37" s="228">
        <v>10072.0</v>
      </c>
      <c r="G37" s="228">
        <v>9531.0</v>
      </c>
      <c r="H37" s="228">
        <v>12457.0</v>
      </c>
      <c r="I37" s="228">
        <v>11306.0</v>
      </c>
    </row>
    <row r="38" ht="21.75" customHeight="1">
      <c r="A38" s="227" t="s">
        <v>1188</v>
      </c>
      <c r="B38" s="228">
        <v>706.0</v>
      </c>
      <c r="C38" s="228"/>
      <c r="D38" s="228"/>
      <c r="E38" s="228"/>
      <c r="F38" s="228"/>
      <c r="G38" s="228"/>
      <c r="H38" s="228"/>
      <c r="I38" s="228">
        <v>22819.0</v>
      </c>
    </row>
    <row r="39" ht="21.75" customHeight="1">
      <c r="A39" s="227" t="s">
        <v>1189</v>
      </c>
      <c r="B39" s="228">
        <v>11654.0</v>
      </c>
      <c r="C39" s="228">
        <v>11691.0</v>
      </c>
      <c r="D39" s="228">
        <v>11678.0</v>
      </c>
      <c r="E39" s="228">
        <v>11952.0</v>
      </c>
      <c r="F39" s="228">
        <v>12106.0</v>
      </c>
      <c r="G39" s="228">
        <v>12744.0</v>
      </c>
      <c r="H39" s="228">
        <v>12983.0</v>
      </c>
      <c r="I39" s="228">
        <v>14591.0</v>
      </c>
    </row>
    <row r="40" ht="21.75" customHeight="1">
      <c r="A40" s="227" t="s">
        <v>1190</v>
      </c>
      <c r="B40" s="228">
        <v>1453.0</v>
      </c>
      <c r="C40" s="228">
        <v>4694.0</v>
      </c>
      <c r="D40" s="228">
        <v>6116.0</v>
      </c>
      <c r="E40" s="228">
        <v>6241.0</v>
      </c>
      <c r="F40" s="228">
        <v>6267.0</v>
      </c>
      <c r="G40" s="228">
        <v>8449.0</v>
      </c>
      <c r="H40" s="228">
        <v>11044.0</v>
      </c>
      <c r="I40" s="228">
        <v>8511.0</v>
      </c>
    </row>
    <row r="41" ht="21.75" customHeight="1">
      <c r="A41" s="229" t="s">
        <v>1191</v>
      </c>
      <c r="B41" s="230">
        <v>116147.0</v>
      </c>
      <c r="C41" s="230">
        <v>125172.0</v>
      </c>
      <c r="D41" s="230">
        <v>130107.0</v>
      </c>
      <c r="E41" s="230">
        <v>139137.0</v>
      </c>
      <c r="F41" s="230">
        <v>149602.0</v>
      </c>
      <c r="G41" s="230">
        <v>180016.0</v>
      </c>
      <c r="H41" s="230">
        <v>225173.0</v>
      </c>
      <c r="I41" s="230">
        <v>281503.0</v>
      </c>
    </row>
    <row r="42"/>
    <row r="43" ht="24.75" customHeight="1">
      <c r="A43" s="226" t="s">
        <v>1192</v>
      </c>
      <c r="B43" s="226"/>
      <c r="C43" s="226"/>
      <c r="D43" s="226"/>
      <c r="E43" s="226"/>
      <c r="F43" s="226"/>
      <c r="G43" s="226"/>
      <c r="H43" s="226"/>
      <c r="I43" s="226"/>
    </row>
    <row r="44" ht="21.75" customHeight="1">
      <c r="A44" s="227" t="s">
        <v>1193</v>
      </c>
      <c r="B44" s="228">
        <v>0.0</v>
      </c>
      <c r="C44" s="228">
        <v>0.0</v>
      </c>
      <c r="D44" s="228">
        <v>0.0</v>
      </c>
      <c r="E44" s="228">
        <v>0.0</v>
      </c>
      <c r="F44" s="228">
        <v>0.0</v>
      </c>
      <c r="G44" s="228">
        <v>0.0</v>
      </c>
      <c r="H44" s="228">
        <v>0.0</v>
      </c>
      <c r="I44" s="228">
        <v>18023.0</v>
      </c>
    </row>
    <row r="45" ht="21.75" customHeight="1">
      <c r="A45" s="227" t="s">
        <v>1194</v>
      </c>
      <c r="B45" s="228">
        <v>82030.0</v>
      </c>
      <c r="C45" s="228">
        <v>84800.0</v>
      </c>
      <c r="D45" s="228">
        <v>86725.0</v>
      </c>
      <c r="E45" s="228">
        <v>89283.0</v>
      </c>
      <c r="F45" s="228">
        <v>91695.0</v>
      </c>
      <c r="G45" s="228">
        <v>93126.0</v>
      </c>
      <c r="H45" s="228">
        <v>96902.0</v>
      </c>
      <c r="I45" s="228">
        <v>131371.0</v>
      </c>
    </row>
    <row r="46" ht="21.75" customHeight="1">
      <c r="A46" s="227" t="s">
        <v>1195</v>
      </c>
      <c r="B46" s="228">
        <v>-3228.0</v>
      </c>
      <c r="C46" s="228">
        <v>-4800.0</v>
      </c>
      <c r="D46" s="228">
        <v>-4086.0</v>
      </c>
      <c r="E46" s="228">
        <v>-2127.0</v>
      </c>
      <c r="F46" s="228">
        <v>-2054.0</v>
      </c>
      <c r="G46" s="228">
        <v>-1916.0</v>
      </c>
      <c r="H46" s="228">
        <v>-2180.0</v>
      </c>
      <c r="I46" s="228">
        <v>-2285.0</v>
      </c>
    </row>
    <row r="47" ht="21.75" customHeight="1">
      <c r="A47" s="227" t="s">
        <v>1196</v>
      </c>
      <c r="B47" s="228">
        <v>235317.0</v>
      </c>
      <c r="C47" s="228">
        <v>245084.0</v>
      </c>
      <c r="D47" s="228">
        <v>262628.0</v>
      </c>
      <c r="E47" s="228">
        <v>275760.0</v>
      </c>
      <c r="F47" s="228">
        <v>297226.0</v>
      </c>
      <c r="G47" s="228">
        <v>324055.0</v>
      </c>
      <c r="H47" s="228">
        <v>384024.0</v>
      </c>
      <c r="I47" s="228">
        <v>493371.0</v>
      </c>
    </row>
    <row r="48" ht="21.75" customHeight="1">
      <c r="A48" s="229" t="s">
        <v>1197</v>
      </c>
      <c r="B48" s="230">
        <v>314119.0</v>
      </c>
      <c r="C48" s="230">
        <v>325084.0</v>
      </c>
      <c r="D48" s="230">
        <v>345267.0</v>
      </c>
      <c r="E48" s="230">
        <v>362916.0</v>
      </c>
      <c r="F48" s="230">
        <v>386867.0</v>
      </c>
      <c r="G48" s="230">
        <v>415265.0</v>
      </c>
      <c r="H48" s="230">
        <v>478746.0</v>
      </c>
      <c r="I48" s="230">
        <v>640480.0</v>
      </c>
    </row>
    <row r="49" ht="21.75" customHeight="1">
      <c r="A49" s="229" t="s">
        <v>1198</v>
      </c>
      <c r="B49" s="230">
        <v>430266.0</v>
      </c>
      <c r="C49" s="230">
        <v>450256.0</v>
      </c>
      <c r="D49" s="230">
        <v>475374.0</v>
      </c>
      <c r="E49" s="230">
        <v>502053.0</v>
      </c>
      <c r="F49" s="230">
        <v>536469.0</v>
      </c>
      <c r="G49" s="230">
        <v>595281.0</v>
      </c>
      <c r="H49" s="230">
        <v>703919.0</v>
      </c>
      <c r="I49" s="230">
        <v>921983.0</v>
      </c>
    </row>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61.0"/>
    <col customWidth="1" min="2" max="9" width="17.0"/>
    <col customWidth="1" min="10" max="26" width="8.63"/>
  </cols>
  <sheetData>
    <row r="1" ht="33.75" customHeight="1">
      <c r="A1" s="221" t="s">
        <v>1199</v>
      </c>
    </row>
    <row r="2" ht="27.0" customHeight="1">
      <c r="A2" s="222" t="s">
        <v>1200</v>
      </c>
    </row>
    <row r="4" ht="24.75" customHeight="1">
      <c r="A4" s="223" t="s">
        <v>1125</v>
      </c>
      <c r="B4" s="223" t="s">
        <v>1126</v>
      </c>
      <c r="C4" s="224" t="s">
        <v>1127</v>
      </c>
      <c r="D4" s="223" t="s">
        <v>1128</v>
      </c>
      <c r="E4" s="223" t="s">
        <v>1129</v>
      </c>
      <c r="F4" s="223" t="s">
        <v>1130</v>
      </c>
      <c r="G4" s="224" t="s">
        <v>1131</v>
      </c>
      <c r="H4" s="223" t="s">
        <v>1132</v>
      </c>
      <c r="I4" s="223" t="s">
        <v>1133</v>
      </c>
    </row>
    <row r="5" ht="24.75" customHeight="1">
      <c r="A5" s="225" t="s">
        <v>1134</v>
      </c>
      <c r="B5" s="225" t="s">
        <v>1201</v>
      </c>
      <c r="C5" s="225" t="s">
        <v>1136</v>
      </c>
      <c r="D5" s="225" t="s">
        <v>1135</v>
      </c>
      <c r="E5" s="225" t="s">
        <v>1202</v>
      </c>
      <c r="F5" s="225" t="s">
        <v>1201</v>
      </c>
      <c r="G5" s="225" t="s">
        <v>1136</v>
      </c>
      <c r="H5" s="225" t="s">
        <v>1135</v>
      </c>
      <c r="I5" s="225" t="s">
        <v>1202</v>
      </c>
    </row>
    <row r="7" ht="24.75" customHeight="1">
      <c r="A7" s="226" t="s">
        <v>1203</v>
      </c>
      <c r="B7" s="226"/>
      <c r="C7" s="226"/>
      <c r="D7" s="226"/>
      <c r="E7" s="226"/>
      <c r="F7" s="226"/>
      <c r="G7" s="226"/>
      <c r="H7" s="226"/>
      <c r="I7" s="226"/>
    </row>
    <row r="8" ht="21.75" customHeight="1">
      <c r="A8" s="229" t="s">
        <v>1041</v>
      </c>
      <c r="B8" s="230">
        <v>73582.0</v>
      </c>
      <c r="C8" s="230">
        <v>100118.0</v>
      </c>
      <c r="D8" s="230">
        <v>34540.0</v>
      </c>
      <c r="E8" s="230">
        <v>62736.0</v>
      </c>
      <c r="F8" s="230">
        <v>97715.0</v>
      </c>
      <c r="G8" s="230">
        <v>132170.0</v>
      </c>
      <c r="H8" s="230">
        <v>62578.0</v>
      </c>
      <c r="I8" s="230">
        <v>174771.0</v>
      </c>
    </row>
    <row r="9" ht="21.75" customHeight="1">
      <c r="A9" s="227" t="s">
        <v>1204</v>
      </c>
      <c r="B9" s="228">
        <v>11106.0</v>
      </c>
      <c r="C9" s="228">
        <v>15311.0</v>
      </c>
      <c r="D9" s="228">
        <v>4487.0</v>
      </c>
      <c r="E9" s="228">
        <v>9485.0</v>
      </c>
      <c r="F9" s="228">
        <v>15096.0</v>
      </c>
      <c r="G9" s="228">
        <v>21136.0</v>
      </c>
      <c r="H9" s="228">
        <v>6482.0</v>
      </c>
      <c r="I9" s="228">
        <v>13586.0</v>
      </c>
    </row>
    <row r="10" ht="21.75" customHeight="1">
      <c r="A10" s="227" t="s">
        <v>1205</v>
      </c>
      <c r="B10" s="228">
        <v>16975.0</v>
      </c>
      <c r="C10" s="228">
        <v>22785.0</v>
      </c>
      <c r="D10" s="228">
        <v>5516.0</v>
      </c>
      <c r="E10" s="228">
        <v>11514.0</v>
      </c>
      <c r="F10" s="228">
        <v>17882.0</v>
      </c>
      <c r="G10" s="228">
        <v>24953.0</v>
      </c>
      <c r="H10" s="228">
        <v>6751.0</v>
      </c>
      <c r="I10" s="228">
        <v>14708.0</v>
      </c>
    </row>
    <row r="11" ht="21.75" customHeight="1">
      <c r="A11" s="227" t="s">
        <v>1206</v>
      </c>
      <c r="B11" s="228">
        <v>-3809.0</v>
      </c>
      <c r="C11" s="228">
        <v>-5257.0</v>
      </c>
      <c r="D11" s="228">
        <v>-1152.0</v>
      </c>
      <c r="E11" s="228">
        <v>-1596.0</v>
      </c>
      <c r="F11" s="228">
        <v>7130.0</v>
      </c>
      <c r="G11" s="228">
        <v>8348.0</v>
      </c>
      <c r="H11" s="228">
        <v>6920.0</v>
      </c>
      <c r="I11" s="228">
        <v>27538.0</v>
      </c>
    </row>
    <row r="12" ht="21.75" customHeight="1">
      <c r="A12" s="227" t="s">
        <v>1207</v>
      </c>
      <c r="B12" s="228">
        <v>-2738.0</v>
      </c>
      <c r="C12" s="228">
        <v>-2671.0</v>
      </c>
      <c r="D12" s="228">
        <v>-9960.0</v>
      </c>
      <c r="E12" s="228">
        <v>-11411.0</v>
      </c>
      <c r="F12" s="228">
        <v>-22266.0</v>
      </c>
      <c r="G12" s="228">
        <v>-24620.0</v>
      </c>
      <c r="H12" s="228">
        <v>-36804.0</v>
      </c>
      <c r="I12" s="228">
        <v>-135803.0</v>
      </c>
    </row>
    <row r="13" ht="21.75" customHeight="1">
      <c r="A13" s="227" t="s">
        <v>1208</v>
      </c>
      <c r="B13" s="228">
        <v>2592.0</v>
      </c>
      <c r="C13" s="228">
        <v>3419.0</v>
      </c>
      <c r="D13" s="228">
        <v>481.0</v>
      </c>
      <c r="E13" s="228">
        <v>1041.0</v>
      </c>
      <c r="F13" s="228">
        <v>843.0</v>
      </c>
      <c r="G13" s="228">
        <v>2108.0</v>
      </c>
      <c r="H13" s="228">
        <v>1265.0</v>
      </c>
      <c r="I13" s="228">
        <v>3161.0</v>
      </c>
    </row>
    <row r="14" ht="21.75" customHeight="1">
      <c r="A14" s="227" t="s">
        <v>1168</v>
      </c>
      <c r="B14" s="228">
        <v>-1321.0</v>
      </c>
      <c r="C14" s="228">
        <v>-5891.0</v>
      </c>
      <c r="D14" s="228">
        <v>1638.0</v>
      </c>
      <c r="E14" s="228">
        <v>-1201.0</v>
      </c>
      <c r="F14" s="228">
        <v>-3582.0</v>
      </c>
      <c r="G14" s="228">
        <v>-8779.0</v>
      </c>
      <c r="H14" s="228">
        <v>-363.0</v>
      </c>
      <c r="I14" s="228">
        <v>-6904.0</v>
      </c>
    </row>
    <row r="15" ht="21.75" customHeight="1">
      <c r="A15" s="227" t="s">
        <v>446</v>
      </c>
      <c r="B15" s="228"/>
      <c r="C15" s="228"/>
      <c r="D15" s="228"/>
      <c r="E15" s="228"/>
      <c r="F15" s="228"/>
      <c r="G15" s="228"/>
      <c r="H15" s="228"/>
      <c r="I15" s="228">
        <v>-7739.0</v>
      </c>
    </row>
    <row r="16" ht="21.75" customHeight="1">
      <c r="A16" s="227" t="s">
        <v>1209</v>
      </c>
      <c r="B16" s="228">
        <v>-2797.0</v>
      </c>
      <c r="C16" s="228">
        <v>-2418.0</v>
      </c>
      <c r="D16" s="228">
        <v>7197.0</v>
      </c>
      <c r="E16" s="228">
        <v>-2434.0</v>
      </c>
      <c r="F16" s="228">
        <v>-3292.0</v>
      </c>
      <c r="G16" s="228">
        <v>-3226.0</v>
      </c>
      <c r="H16" s="228">
        <v>8101.0</v>
      </c>
      <c r="I16" s="228">
        <v>8304.0</v>
      </c>
    </row>
    <row r="17" ht="21.75" customHeight="1">
      <c r="A17" s="227" t="s">
        <v>1210</v>
      </c>
      <c r="B17" s="228">
        <v>-2334.0</v>
      </c>
      <c r="C17" s="228">
        <v>-1397.0</v>
      </c>
      <c r="D17" s="228">
        <v>-1288.0</v>
      </c>
      <c r="E17" s="228">
        <v>-2767.0</v>
      </c>
      <c r="F17" s="228">
        <v>-4060.0</v>
      </c>
      <c r="G17" s="228">
        <v>-4542.0</v>
      </c>
      <c r="H17" s="228">
        <v>-3403.0</v>
      </c>
      <c r="I17" s="228">
        <v>-9950.0</v>
      </c>
    </row>
    <row r="18" ht="21.75" customHeight="1">
      <c r="A18" s="227" t="s">
        <v>1180</v>
      </c>
      <c r="B18" s="228">
        <v>-42.0</v>
      </c>
      <c r="C18" s="228">
        <v>359.0</v>
      </c>
      <c r="D18" s="228">
        <v>-880.0</v>
      </c>
      <c r="E18" s="228">
        <v>-327.0</v>
      </c>
      <c r="F18" s="228">
        <v>-771.0</v>
      </c>
      <c r="G18" s="228">
        <v>907.0</v>
      </c>
      <c r="H18" s="228">
        <v>-240.0</v>
      </c>
      <c r="I18" s="228">
        <v>2090.0</v>
      </c>
    </row>
    <row r="19" ht="21.75" customHeight="1">
      <c r="A19" s="227" t="s">
        <v>1211</v>
      </c>
      <c r="B19" s="228">
        <v>-6366.0</v>
      </c>
      <c r="C19" s="228">
        <v>-1161.0</v>
      </c>
      <c r="D19" s="228">
        <v>-5045.0</v>
      </c>
      <c r="E19" s="228">
        <v>-1560.0</v>
      </c>
      <c r="F19" s="228">
        <v>6199.0</v>
      </c>
      <c r="G19" s="228">
        <v>12939.0</v>
      </c>
      <c r="H19" s="228">
        <v>-6002.0</v>
      </c>
      <c r="I19" s="228">
        <v>308.0</v>
      </c>
    </row>
    <row r="20" ht="21.75" customHeight="1">
      <c r="A20" s="227" t="s">
        <v>455</v>
      </c>
      <c r="B20" s="228">
        <v>478.0</v>
      </c>
      <c r="C20" s="228">
        <v>1059.0</v>
      </c>
      <c r="D20" s="228">
        <v>116.0</v>
      </c>
      <c r="E20" s="228">
        <v>-219.0</v>
      </c>
      <c r="F20" s="228">
        <v>100.0</v>
      </c>
      <c r="G20" s="228">
        <v>899.0</v>
      </c>
      <c r="H20" s="228"/>
      <c r="I20" s="228"/>
    </row>
    <row r="21" ht="21.75" customHeight="1">
      <c r="A21" s="227" t="s">
        <v>456</v>
      </c>
      <c r="B21" s="228">
        <v>860.0</v>
      </c>
      <c r="C21" s="228">
        <v>1043.0</v>
      </c>
      <c r="D21" s="228">
        <v>500.0</v>
      </c>
      <c r="E21" s="228">
        <v>636.0</v>
      </c>
      <c r="F21" s="228">
        <v>1317.0</v>
      </c>
      <c r="G21" s="228">
        <v>2420.0</v>
      </c>
      <c r="H21" s="228">
        <v>505.0</v>
      </c>
      <c r="I21" s="228">
        <v>789.0</v>
      </c>
    </row>
    <row r="22" ht="21.75" customHeight="1">
      <c r="A22" s="229" t="s">
        <v>1212</v>
      </c>
      <c r="B22" s="230">
        <v>86186.0</v>
      </c>
      <c r="C22" s="230">
        <v>125299.0</v>
      </c>
      <c r="D22" s="230">
        <v>36150.0</v>
      </c>
      <c r="E22" s="230">
        <v>63897.0</v>
      </c>
      <c r="F22" s="230">
        <v>112311.0</v>
      </c>
      <c r="G22" s="230">
        <v>164713.0</v>
      </c>
      <c r="H22" s="230">
        <v>45790.0</v>
      </c>
      <c r="I22" s="230">
        <v>84859.0</v>
      </c>
    </row>
    <row r="23"/>
    <row r="24" ht="24.75" customHeight="1">
      <c r="A24" s="226" t="s">
        <v>1213</v>
      </c>
      <c r="B24" s="226"/>
      <c r="C24" s="226"/>
      <c r="D24" s="226"/>
      <c r="E24" s="226"/>
      <c r="F24" s="226"/>
      <c r="G24" s="226"/>
      <c r="H24" s="226"/>
      <c r="I24" s="226"/>
    </row>
    <row r="25" ht="21.75" customHeight="1">
      <c r="A25" s="227" t="s">
        <v>1214</v>
      </c>
      <c r="B25" s="228">
        <v>-38259.0</v>
      </c>
      <c r="C25" s="228">
        <v>-52535.0</v>
      </c>
      <c r="D25" s="228">
        <v>-17197.0</v>
      </c>
      <c r="E25" s="228">
        <v>-39643.0</v>
      </c>
      <c r="F25" s="228">
        <v>-63596.0</v>
      </c>
      <c r="G25" s="228">
        <v>-91447.0</v>
      </c>
      <c r="H25" s="228">
        <v>-35674.0</v>
      </c>
      <c r="I25" s="228">
        <v>-80598.0</v>
      </c>
    </row>
    <row r="26" ht="21.75" customHeight="1">
      <c r="A26" s="227" t="s">
        <v>1215</v>
      </c>
      <c r="B26" s="228">
        <v>-65034.0</v>
      </c>
      <c r="C26" s="228">
        <v>-86679.0</v>
      </c>
      <c r="D26" s="228">
        <v>-18453.0</v>
      </c>
      <c r="E26" s="228">
        <v>-39870.0</v>
      </c>
      <c r="F26" s="228">
        <v>-60834.0</v>
      </c>
      <c r="G26" s="228">
        <v>-103773.0</v>
      </c>
      <c r="H26" s="228">
        <v>-31041.0</v>
      </c>
      <c r="I26" s="228">
        <v>-76480.0</v>
      </c>
    </row>
    <row r="27" ht="21.75" customHeight="1">
      <c r="A27" s="227" t="s">
        <v>1216</v>
      </c>
      <c r="B27" s="228">
        <v>81779.0</v>
      </c>
      <c r="C27" s="228">
        <v>103428.0</v>
      </c>
      <c r="D27" s="228">
        <v>20345.0</v>
      </c>
      <c r="E27" s="228">
        <v>40930.0</v>
      </c>
      <c r="F27" s="228">
        <v>61301.0</v>
      </c>
      <c r="G27" s="228">
        <v>83240.0</v>
      </c>
      <c r="H27" s="228">
        <v>38001.0</v>
      </c>
      <c r="I27" s="228">
        <v>66696.0</v>
      </c>
    </row>
    <row r="28" ht="21.75" customHeight="1">
      <c r="A28" s="227" t="s">
        <v>1217</v>
      </c>
      <c r="B28" s="228">
        <v>-3234.0</v>
      </c>
      <c r="C28" s="228">
        <v>-5034.0</v>
      </c>
      <c r="D28" s="228">
        <v>-958.0</v>
      </c>
      <c r="E28" s="228">
        <v>-2312.0</v>
      </c>
      <c r="F28" s="228">
        <v>-3312.0</v>
      </c>
      <c r="G28" s="228">
        <v>-5716.0</v>
      </c>
      <c r="H28" s="228">
        <v>-906.0</v>
      </c>
      <c r="I28" s="228">
        <v>-22051.0</v>
      </c>
    </row>
    <row r="29" ht="21.75" customHeight="1">
      <c r="A29" s="227" t="s">
        <v>1218</v>
      </c>
      <c r="B29" s="228">
        <v>732.0</v>
      </c>
      <c r="C29" s="228">
        <v>882.0</v>
      </c>
      <c r="D29" s="228">
        <v>259.0</v>
      </c>
      <c r="E29" s="228">
        <v>873.0</v>
      </c>
      <c r="F29" s="228">
        <v>1196.0</v>
      </c>
      <c r="G29" s="228">
        <v>1367.0</v>
      </c>
      <c r="H29" s="228">
        <v>848.0</v>
      </c>
      <c r="I29" s="228">
        <v>1667.0</v>
      </c>
    </row>
    <row r="30" ht="21.75" customHeight="1">
      <c r="A30" s="227" t="s">
        <v>1219</v>
      </c>
      <c r="B30" s="228">
        <v>-2840.0</v>
      </c>
      <c r="C30" s="228">
        <v>-2931.0</v>
      </c>
      <c r="D30" s="228">
        <v>-340.0</v>
      </c>
      <c r="E30" s="228">
        <v>-353.0</v>
      </c>
      <c r="F30" s="228">
        <v>-1425.0</v>
      </c>
      <c r="G30" s="228">
        <v>-1592.0</v>
      </c>
      <c r="H30" s="228">
        <v>-33621.0</v>
      </c>
      <c r="I30" s="228">
        <v>-33697.0</v>
      </c>
    </row>
    <row r="31" ht="21.75" customHeight="1">
      <c r="A31" s="227" t="s">
        <v>1220</v>
      </c>
      <c r="B31" s="228">
        <v>-2500.0</v>
      </c>
      <c r="C31" s="228">
        <v>-2667.0</v>
      </c>
      <c r="D31" s="228">
        <v>150.0</v>
      </c>
      <c r="E31" s="228">
        <v>-363.0</v>
      </c>
      <c r="F31" s="228">
        <v>-1845.0</v>
      </c>
      <c r="G31" s="228">
        <v>-2370.0</v>
      </c>
      <c r="H31" s="228">
        <v>-996.0</v>
      </c>
      <c r="I31" s="228">
        <v>-1359.0</v>
      </c>
    </row>
    <row r="32" ht="21.75" customHeight="1">
      <c r="A32" s="229" t="s">
        <v>1221</v>
      </c>
      <c r="B32" s="230">
        <v>-29356.0</v>
      </c>
      <c r="C32" s="230">
        <v>-45536.0</v>
      </c>
      <c r="D32" s="230">
        <v>-16194.0</v>
      </c>
      <c r="E32" s="230">
        <v>-40738.0</v>
      </c>
      <c r="F32" s="230">
        <v>-68515.0</v>
      </c>
      <c r="G32" s="230">
        <v>-120291.0</v>
      </c>
      <c r="H32" s="230">
        <v>-63389.0</v>
      </c>
      <c r="I32" s="230">
        <v>-145822.0</v>
      </c>
    </row>
    <row r="33"/>
    <row r="34" ht="24.75" customHeight="1">
      <c r="A34" s="226" t="s">
        <v>1222</v>
      </c>
      <c r="B34" s="226"/>
      <c r="C34" s="226"/>
      <c r="D34" s="226"/>
      <c r="E34" s="226"/>
      <c r="F34" s="226"/>
      <c r="G34" s="226"/>
      <c r="H34" s="226"/>
      <c r="I34" s="226"/>
    </row>
    <row r="35" ht="21.75" customHeight="1">
      <c r="A35" s="227" t="s">
        <v>1223</v>
      </c>
      <c r="B35" s="228">
        <v>-9141.0</v>
      </c>
      <c r="C35" s="228">
        <v>-12190.0</v>
      </c>
      <c r="D35" s="228">
        <v>-3110.0</v>
      </c>
      <c r="E35" s="228">
        <v>-5731.0</v>
      </c>
      <c r="F35" s="228">
        <v>-9001.0</v>
      </c>
      <c r="G35" s="228">
        <v>-14167.0</v>
      </c>
      <c r="H35" s="228">
        <v>-5483.0</v>
      </c>
      <c r="I35" s="228">
        <v>-12056.0</v>
      </c>
    </row>
    <row r="36" ht="21.75" customHeight="1">
      <c r="A36" s="227" t="s">
        <v>1224</v>
      </c>
      <c r="B36" s="228">
        <v>-46671.0</v>
      </c>
      <c r="C36" s="228">
        <v>-62222.0</v>
      </c>
      <c r="D36" s="228">
        <v>-15068.0</v>
      </c>
      <c r="E36" s="228">
        <v>-28706.0</v>
      </c>
      <c r="F36" s="228">
        <v>-40210.0</v>
      </c>
      <c r="G36" s="228">
        <v>-45709.0</v>
      </c>
      <c r="H36" s="228">
        <v>0.0</v>
      </c>
      <c r="I36" s="228">
        <v>0.0</v>
      </c>
    </row>
    <row r="37" ht="21.75" customHeight="1">
      <c r="A37" s="227" t="s">
        <v>1225</v>
      </c>
      <c r="B37" s="228">
        <v>-4921.0</v>
      </c>
      <c r="C37" s="228">
        <v>-7363.0</v>
      </c>
      <c r="D37" s="228">
        <v>-2434.0</v>
      </c>
      <c r="E37" s="228">
        <v>-4977.0</v>
      </c>
      <c r="F37" s="228">
        <v>-7513.0</v>
      </c>
      <c r="G37" s="228">
        <v>-10049.0</v>
      </c>
      <c r="H37" s="228">
        <v>-2542.0</v>
      </c>
      <c r="I37" s="228">
        <v>-5231.0</v>
      </c>
    </row>
    <row r="38" ht="21.75" customHeight="1">
      <c r="A38" s="227" t="s">
        <v>1226</v>
      </c>
      <c r="B38" s="228"/>
      <c r="C38" s="228"/>
      <c r="D38" s="228"/>
      <c r="E38" s="228"/>
      <c r="F38" s="228"/>
      <c r="G38" s="228"/>
      <c r="H38" s="228"/>
      <c r="I38" s="228">
        <v>30499.0</v>
      </c>
    </row>
    <row r="39" ht="21.75" customHeight="1">
      <c r="A39" s="227" t="s">
        <v>1227</v>
      </c>
      <c r="B39" s="228"/>
      <c r="C39" s="228"/>
      <c r="D39" s="228"/>
      <c r="E39" s="228"/>
      <c r="F39" s="228"/>
      <c r="G39" s="228"/>
      <c r="H39" s="228"/>
      <c r="I39" s="228">
        <v>19063.0</v>
      </c>
    </row>
    <row r="40" ht="21.75" customHeight="1">
      <c r="A40" s="227" t="s">
        <v>1228</v>
      </c>
      <c r="B40" s="228">
        <v>8694.0</v>
      </c>
      <c r="C40" s="228">
        <v>13589.0</v>
      </c>
      <c r="D40" s="228">
        <v>4532.0</v>
      </c>
      <c r="E40" s="228">
        <v>31378.0</v>
      </c>
      <c r="F40" s="228">
        <v>38002.0</v>
      </c>
      <c r="G40" s="228">
        <v>64564.0</v>
      </c>
      <c r="H40" s="228">
        <v>31379.0</v>
      </c>
      <c r="I40" s="228">
        <v>56226.0</v>
      </c>
    </row>
    <row r="41" ht="21.75" customHeight="1">
      <c r="A41" s="227" t="s">
        <v>1229</v>
      </c>
      <c r="B41" s="228">
        <v>-8951.0</v>
      </c>
      <c r="C41" s="228">
        <v>-12701.0</v>
      </c>
      <c r="D41" s="228">
        <v>-4521.0</v>
      </c>
      <c r="E41" s="228">
        <v>-18397.0</v>
      </c>
      <c r="F41" s="228">
        <v>-26094.0</v>
      </c>
      <c r="G41" s="228">
        <v>-32427.0</v>
      </c>
      <c r="H41" s="228">
        <v>-1477.0</v>
      </c>
      <c r="I41" s="228">
        <v>-5253.0</v>
      </c>
    </row>
    <row r="42" ht="21.75" customHeight="1">
      <c r="A42" s="227" t="s">
        <v>1230</v>
      </c>
      <c r="B42" s="228">
        <v>293.0</v>
      </c>
      <c r="C42" s="228">
        <v>1154.0</v>
      </c>
      <c r="D42" s="228">
        <v>400.0</v>
      </c>
      <c r="E42" s="228">
        <v>400.0</v>
      </c>
      <c r="F42" s="228">
        <v>400.0</v>
      </c>
      <c r="G42" s="228">
        <v>400.0</v>
      </c>
      <c r="H42" s="228">
        <v>3200.0</v>
      </c>
      <c r="I42" s="228">
        <v>3758.0</v>
      </c>
    </row>
    <row r="43" ht="21.75" customHeight="1">
      <c r="A43" s="227" t="s">
        <v>1231</v>
      </c>
      <c r="B43" s="228"/>
      <c r="C43" s="228"/>
      <c r="D43" s="228"/>
      <c r="E43" s="228"/>
      <c r="F43" s="228"/>
      <c r="G43" s="228"/>
      <c r="H43" s="228"/>
      <c r="I43" s="228">
        <v>-686.0</v>
      </c>
    </row>
    <row r="44" ht="21.75" customHeight="1">
      <c r="A44" s="229" t="s">
        <v>1232</v>
      </c>
      <c r="B44" s="230">
        <v>-60697.0</v>
      </c>
      <c r="C44" s="230">
        <v>-79733.0</v>
      </c>
      <c r="D44" s="230">
        <v>-20201.0</v>
      </c>
      <c r="E44" s="230">
        <v>-26033.0</v>
      </c>
      <c r="F44" s="230">
        <v>-44416.0</v>
      </c>
      <c r="G44" s="230">
        <v>-37388.0</v>
      </c>
      <c r="H44" s="230">
        <v>25077.0</v>
      </c>
      <c r="I44" s="230">
        <v>86320.0</v>
      </c>
    </row>
    <row r="45"/>
    <row r="46" ht="24.75" customHeight="1">
      <c r="A46" s="226" t="s">
        <v>1233</v>
      </c>
      <c r="B46" s="226"/>
      <c r="C46" s="226"/>
      <c r="D46" s="226"/>
      <c r="E46" s="226"/>
      <c r="F46" s="226"/>
      <c r="G46" s="226"/>
      <c r="H46" s="226"/>
      <c r="I46" s="226"/>
    </row>
    <row r="47" ht="21.75" customHeight="1">
      <c r="A47" s="227" t="s">
        <v>1234</v>
      </c>
      <c r="B47" s="228">
        <v>-222.0</v>
      </c>
      <c r="C47" s="228">
        <v>-612.0</v>
      </c>
      <c r="D47" s="228">
        <v>43.0</v>
      </c>
      <c r="E47" s="228">
        <v>444.0</v>
      </c>
      <c r="F47" s="228">
        <v>244.0</v>
      </c>
      <c r="G47" s="228">
        <v>208.0</v>
      </c>
      <c r="H47" s="228">
        <v>-123.0</v>
      </c>
      <c r="I47" s="228">
        <v>-154.0</v>
      </c>
    </row>
    <row r="48" ht="21.75" customHeight="1">
      <c r="A48" s="227" t="s">
        <v>1235</v>
      </c>
      <c r="B48" s="228">
        <v>-4089.0</v>
      </c>
      <c r="C48" s="228">
        <v>-582.0</v>
      </c>
      <c r="D48" s="228">
        <v>-202.0</v>
      </c>
      <c r="E48" s="228">
        <v>-2430.0</v>
      </c>
      <c r="F48" s="228">
        <v>-376.0</v>
      </c>
      <c r="G48" s="228">
        <v>7242.0</v>
      </c>
      <c r="H48" s="228">
        <v>7355.0</v>
      </c>
      <c r="I48" s="228">
        <v>25203.0</v>
      </c>
    </row>
    <row r="49" ht="21.75" customHeight="1">
      <c r="A49" s="227" t="s">
        <v>1236</v>
      </c>
      <c r="B49" s="228">
        <v>24048.0</v>
      </c>
      <c r="C49" s="228">
        <v>24048.0</v>
      </c>
      <c r="D49" s="228">
        <v>23466.0</v>
      </c>
      <c r="E49" s="228">
        <v>23466.0</v>
      </c>
      <c r="F49" s="228">
        <v>23466.0</v>
      </c>
      <c r="G49" s="228">
        <v>23466.0</v>
      </c>
      <c r="H49" s="228">
        <v>30708.0</v>
      </c>
      <c r="I49" s="228">
        <v>30708.0</v>
      </c>
    </row>
    <row r="50" ht="21.75" customHeight="1">
      <c r="A50" s="227" t="s">
        <v>1237</v>
      </c>
      <c r="B50" s="228">
        <v>19959.0</v>
      </c>
      <c r="C50" s="228">
        <v>23466.0</v>
      </c>
      <c r="D50" s="228">
        <v>23264.0</v>
      </c>
      <c r="E50" s="228">
        <v>21036.0</v>
      </c>
      <c r="F50" s="228">
        <v>23090.0</v>
      </c>
      <c r="G50" s="228">
        <v>30708.0</v>
      </c>
      <c r="H50" s="228">
        <v>38063.0</v>
      </c>
      <c r="I50" s="228">
        <v>55911.0</v>
      </c>
    </row>
    <row r="51" ht="21.75" customHeight="1">
      <c r="A51" s="227" t="s">
        <v>1238</v>
      </c>
      <c r="B51" s="228"/>
      <c r="C51" s="228"/>
      <c r="D51" s="228"/>
      <c r="E51" s="228"/>
      <c r="F51" s="228"/>
      <c r="G51" s="228">
        <v>15090.0</v>
      </c>
      <c r="H51" s="228">
        <v>24131.0</v>
      </c>
      <c r="I51" s="228">
        <v>29113.0</v>
      </c>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61.0"/>
    <col customWidth="1" min="2" max="9" width="17.0"/>
    <col customWidth="1" min="10" max="26" width="8.63"/>
  </cols>
  <sheetData>
    <row r="1" ht="33.75" customHeight="1">
      <c r="A1" s="221" t="s">
        <v>1239</v>
      </c>
    </row>
    <row r="2" ht="27.0" customHeight="1">
      <c r="A2" s="222" t="s">
        <v>1240</v>
      </c>
    </row>
    <row r="4" ht="24.75" customHeight="1">
      <c r="A4" s="223" t="s">
        <v>1125</v>
      </c>
      <c r="B4" s="223" t="s">
        <v>1126</v>
      </c>
      <c r="C4" s="224" t="s">
        <v>1127</v>
      </c>
      <c r="D4" s="223" t="s">
        <v>1128</v>
      </c>
      <c r="E4" s="223" t="s">
        <v>1129</v>
      </c>
      <c r="F4" s="223" t="s">
        <v>1130</v>
      </c>
      <c r="G4" s="224" t="s">
        <v>1131</v>
      </c>
      <c r="H4" s="223" t="s">
        <v>1132</v>
      </c>
      <c r="I4" s="223" t="s">
        <v>1133</v>
      </c>
    </row>
    <row r="5" ht="24.75" customHeight="1">
      <c r="A5" s="225" t="s">
        <v>1134</v>
      </c>
      <c r="B5" s="225" t="s">
        <v>1135</v>
      </c>
      <c r="C5" s="225" t="s">
        <v>1136</v>
      </c>
      <c r="D5" s="225" t="s">
        <v>1135</v>
      </c>
      <c r="E5" s="225" t="s">
        <v>1135</v>
      </c>
      <c r="F5" s="225" t="s">
        <v>1135</v>
      </c>
      <c r="G5" s="225" t="s">
        <v>1136</v>
      </c>
      <c r="H5" s="225" t="s">
        <v>1135</v>
      </c>
      <c r="I5" s="225" t="s">
        <v>1135</v>
      </c>
    </row>
    <row r="7" ht="24.75" customHeight="1">
      <c r="A7" s="226" t="s">
        <v>276</v>
      </c>
      <c r="B7" s="226"/>
      <c r="C7" s="226"/>
      <c r="D7" s="226"/>
      <c r="E7" s="226"/>
      <c r="F7" s="226"/>
      <c r="G7" s="226"/>
      <c r="H7" s="226"/>
      <c r="I7" s="226"/>
    </row>
    <row r="8" ht="21.75" customHeight="1">
      <c r="A8" s="227" t="s">
        <v>1241</v>
      </c>
      <c r="B8" s="228">
        <v>49385.0</v>
      </c>
      <c r="C8" s="228">
        <v>198084.0</v>
      </c>
      <c r="D8" s="228">
        <v>50702.0</v>
      </c>
      <c r="E8" s="228">
        <v>54190.0</v>
      </c>
      <c r="F8" s="228">
        <v>56567.0</v>
      </c>
      <c r="G8" s="228">
        <v>224532.0</v>
      </c>
      <c r="H8" s="228">
        <v>60399.0</v>
      </c>
      <c r="I8" s="228">
        <v>63271.0</v>
      </c>
    </row>
    <row r="9" ht="21.75" customHeight="1">
      <c r="A9" s="227" t="s">
        <v>1242</v>
      </c>
      <c r="B9" s="228">
        <v>8921.0</v>
      </c>
      <c r="C9" s="228">
        <v>36147.0</v>
      </c>
      <c r="D9" s="228">
        <v>8927.0</v>
      </c>
      <c r="E9" s="228">
        <v>9796.0</v>
      </c>
      <c r="F9" s="228">
        <v>10261.0</v>
      </c>
      <c r="G9" s="228">
        <v>40367.0</v>
      </c>
      <c r="H9" s="228">
        <v>9883.0</v>
      </c>
      <c r="I9" s="228">
        <v>11055.0</v>
      </c>
    </row>
    <row r="10" ht="21.75" customHeight="1">
      <c r="A10" s="227" t="s">
        <v>350</v>
      </c>
      <c r="B10" s="228">
        <v>7548.0</v>
      </c>
      <c r="C10" s="228">
        <v>30359.0</v>
      </c>
      <c r="D10" s="228">
        <v>7256.0</v>
      </c>
      <c r="E10" s="228">
        <v>7354.0</v>
      </c>
      <c r="F10" s="228">
        <v>7354.0</v>
      </c>
      <c r="G10" s="228">
        <v>29792.0</v>
      </c>
      <c r="H10" s="228">
        <v>6971.0</v>
      </c>
      <c r="I10" s="228">
        <v>7303.0</v>
      </c>
    </row>
    <row r="11" ht="21.75" customHeight="1">
      <c r="A11" s="227" t="s">
        <v>1243</v>
      </c>
      <c r="B11" s="228">
        <v>65854.0</v>
      </c>
      <c r="C11" s="228">
        <v>264590.0</v>
      </c>
      <c r="D11" s="228">
        <v>66885.0</v>
      </c>
      <c r="E11" s="228">
        <v>71340.0</v>
      </c>
      <c r="F11" s="228">
        <v>74182.0</v>
      </c>
      <c r="G11" s="228">
        <v>294691.0</v>
      </c>
      <c r="H11" s="228">
        <v>77253.0</v>
      </c>
      <c r="I11" s="228">
        <v>81629.0</v>
      </c>
    </row>
    <row r="12" ht="21.75" customHeight="1">
      <c r="A12" s="227" t="s">
        <v>1244</v>
      </c>
      <c r="B12" s="228">
        <v>10656.0</v>
      </c>
      <c r="C12" s="228">
        <v>40340.0</v>
      </c>
      <c r="D12" s="228">
        <v>10379.0</v>
      </c>
      <c r="E12" s="228">
        <v>11203.0</v>
      </c>
      <c r="F12" s="228">
        <v>12870.0</v>
      </c>
      <c r="G12" s="228">
        <v>48030.0</v>
      </c>
      <c r="H12" s="228">
        <v>12384.0</v>
      </c>
      <c r="I12" s="228">
        <v>12911.0</v>
      </c>
    </row>
    <row r="13" ht="21.75" customHeight="1">
      <c r="A13" s="227" t="s">
        <v>1245</v>
      </c>
      <c r="B13" s="228">
        <v>76510.0</v>
      </c>
      <c r="C13" s="228">
        <v>304930.0</v>
      </c>
      <c r="D13" s="228">
        <v>77264.0</v>
      </c>
      <c r="E13" s="228">
        <v>82543.0</v>
      </c>
      <c r="F13" s="228">
        <v>87052.0</v>
      </c>
      <c r="G13" s="228">
        <v>342721.0</v>
      </c>
      <c r="H13" s="228">
        <v>89637.0</v>
      </c>
      <c r="I13" s="228">
        <v>94540.0</v>
      </c>
    </row>
    <row r="15" ht="24.75" customHeight="1">
      <c r="A15" s="226" t="s">
        <v>1246</v>
      </c>
      <c r="B15" s="226"/>
      <c r="C15" s="226"/>
      <c r="D15" s="226"/>
      <c r="E15" s="226"/>
      <c r="F15" s="226"/>
      <c r="G15" s="226"/>
      <c r="H15" s="226"/>
      <c r="I15" s="226"/>
    </row>
    <row r="16" ht="21.75" customHeight="1">
      <c r="A16" s="227" t="s">
        <v>278</v>
      </c>
      <c r="B16" s="228">
        <v>11353.0</v>
      </c>
      <c r="C16" s="228">
        <v>43229.0</v>
      </c>
      <c r="D16" s="228">
        <v>12260.0</v>
      </c>
      <c r="E16" s="228">
        <v>13624.0</v>
      </c>
      <c r="F16" s="228">
        <v>15157.0</v>
      </c>
      <c r="G16" s="228">
        <v>58705.0</v>
      </c>
      <c r="H16" s="228">
        <v>20028.0</v>
      </c>
      <c r="I16" s="228">
        <v>24768.0</v>
      </c>
    </row>
    <row r="17" ht="21.75" customHeight="1">
      <c r="A17" s="227" t="s">
        <v>280</v>
      </c>
      <c r="B17" s="228">
        <v>388.0</v>
      </c>
      <c r="C17" s="228">
        <v>1648.0</v>
      </c>
      <c r="D17" s="228">
        <v>450.0</v>
      </c>
      <c r="E17" s="228">
        <v>373.0</v>
      </c>
      <c r="F17" s="228">
        <v>344.0</v>
      </c>
      <c r="G17" s="228">
        <v>1537.0</v>
      </c>
      <c r="H17" s="228">
        <v>411.0</v>
      </c>
      <c r="I17" s="228">
        <v>382.0</v>
      </c>
    </row>
    <row r="18" ht="21.75" customHeight="1">
      <c r="A18" s="227" t="s">
        <v>1247</v>
      </c>
      <c r="B18" s="228">
        <v>17.0</v>
      </c>
      <c r="C18" s="228">
        <v>211.0</v>
      </c>
      <c r="D18" s="228">
        <v>260.0</v>
      </c>
      <c r="E18" s="228">
        <v>-112.0</v>
      </c>
      <c r="F18" s="228">
        <v>-207.0</v>
      </c>
      <c r="G18" s="228">
        <v>-127.0</v>
      </c>
      <c r="H18" s="228">
        <v>-180.0</v>
      </c>
      <c r="I18" s="228">
        <v>106.0</v>
      </c>
    </row>
    <row r="19" ht="21.75" customHeight="1">
      <c r="A19" s="229" t="s">
        <v>1248</v>
      </c>
      <c r="B19" s="230">
        <v>88268.0</v>
      </c>
      <c r="C19" s="230">
        <v>350018.0</v>
      </c>
      <c r="D19" s="230">
        <v>90234.0</v>
      </c>
      <c r="E19" s="230">
        <v>96428.0</v>
      </c>
      <c r="F19" s="230">
        <v>102346.0</v>
      </c>
      <c r="G19" s="230">
        <v>402836.0</v>
      </c>
      <c r="H19" s="230">
        <v>109896.0</v>
      </c>
      <c r="I19" s="230">
        <v>119796.0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61.0"/>
    <col customWidth="1" min="2" max="9" width="17.0"/>
    <col customWidth="1" min="10" max="26" width="8.63"/>
  </cols>
  <sheetData>
    <row r="1" ht="33.75" customHeight="1">
      <c r="A1" s="221" t="s">
        <v>1249</v>
      </c>
    </row>
    <row r="2" ht="27.0" customHeight="1">
      <c r="A2" s="222" t="s">
        <v>1250</v>
      </c>
    </row>
    <row r="4" ht="24.75" customHeight="1">
      <c r="A4" s="223" t="s">
        <v>1125</v>
      </c>
      <c r="B4" s="223" t="s">
        <v>1126</v>
      </c>
      <c r="C4" s="224" t="s">
        <v>1127</v>
      </c>
      <c r="D4" s="223" t="s">
        <v>1128</v>
      </c>
      <c r="E4" s="223" t="s">
        <v>1129</v>
      </c>
      <c r="F4" s="223" t="s">
        <v>1130</v>
      </c>
      <c r="G4" s="224" t="s">
        <v>1131</v>
      </c>
      <c r="H4" s="223" t="s">
        <v>1132</v>
      </c>
      <c r="I4" s="223" t="s">
        <v>1133</v>
      </c>
    </row>
    <row r="5" ht="24.75" customHeight="1">
      <c r="A5" s="225" t="s">
        <v>1134</v>
      </c>
      <c r="B5" s="225" t="s">
        <v>1135</v>
      </c>
      <c r="C5" s="225" t="s">
        <v>1136</v>
      </c>
      <c r="D5" s="225" t="s">
        <v>1135</v>
      </c>
      <c r="E5" s="225" t="s">
        <v>1135</v>
      </c>
      <c r="F5" s="225" t="s">
        <v>1135</v>
      </c>
      <c r="G5" s="225" t="s">
        <v>1136</v>
      </c>
      <c r="H5" s="225" t="s">
        <v>1135</v>
      </c>
      <c r="I5" s="225" t="s">
        <v>1135</v>
      </c>
    </row>
    <row r="7" ht="24.75" customHeight="1">
      <c r="A7" s="226" t="s">
        <v>1251</v>
      </c>
      <c r="B7" s="226"/>
      <c r="C7" s="226"/>
      <c r="D7" s="226"/>
      <c r="E7" s="226"/>
      <c r="F7" s="226"/>
      <c r="G7" s="226"/>
      <c r="H7" s="226"/>
      <c r="I7" s="226"/>
    </row>
    <row r="8" ht="21.75" customHeight="1">
      <c r="A8" s="227" t="s">
        <v>276</v>
      </c>
      <c r="B8" s="228">
        <v>76510.0</v>
      </c>
      <c r="C8" s="228">
        <v>304930.0</v>
      </c>
      <c r="D8" s="228">
        <v>77264.0</v>
      </c>
      <c r="E8" s="228">
        <v>82543.0</v>
      </c>
      <c r="F8" s="228">
        <v>87052.0</v>
      </c>
      <c r="G8" s="228">
        <v>342721.0</v>
      </c>
      <c r="H8" s="228">
        <v>89637.0</v>
      </c>
      <c r="I8" s="228">
        <v>94540.0</v>
      </c>
    </row>
    <row r="9" ht="21.75" customHeight="1">
      <c r="A9" s="227" t="s">
        <v>278</v>
      </c>
      <c r="B9" s="228">
        <v>11353.0</v>
      </c>
      <c r="C9" s="228">
        <v>43229.0</v>
      </c>
      <c r="D9" s="228">
        <v>12260.0</v>
      </c>
      <c r="E9" s="228">
        <v>13624.0</v>
      </c>
      <c r="F9" s="228">
        <v>15157.0</v>
      </c>
      <c r="G9" s="228">
        <v>58705.0</v>
      </c>
      <c r="H9" s="228">
        <v>20028.0</v>
      </c>
      <c r="I9" s="228">
        <v>24768.0</v>
      </c>
    </row>
    <row r="10" ht="21.75" customHeight="1">
      <c r="A10" s="227" t="s">
        <v>280</v>
      </c>
      <c r="B10" s="228">
        <v>388.0</v>
      </c>
      <c r="C10" s="228">
        <v>1648.0</v>
      </c>
      <c r="D10" s="228">
        <v>450.0</v>
      </c>
      <c r="E10" s="228">
        <v>373.0</v>
      </c>
      <c r="F10" s="228">
        <v>344.0</v>
      </c>
      <c r="G10" s="228">
        <v>1537.0</v>
      </c>
      <c r="H10" s="228">
        <v>411.0</v>
      </c>
      <c r="I10" s="228">
        <v>382.0</v>
      </c>
    </row>
    <row r="11" ht="21.75" customHeight="1">
      <c r="A11" s="227" t="s">
        <v>1247</v>
      </c>
      <c r="B11" s="228">
        <v>17.0</v>
      </c>
      <c r="C11" s="228">
        <v>211.0</v>
      </c>
      <c r="D11" s="228">
        <v>260.0</v>
      </c>
      <c r="E11" s="228">
        <v>-112.0</v>
      </c>
      <c r="F11" s="228">
        <v>-207.0</v>
      </c>
      <c r="G11" s="228">
        <v>-127.0</v>
      </c>
      <c r="H11" s="228">
        <v>-180.0</v>
      </c>
      <c r="I11" s="228">
        <v>106.0</v>
      </c>
    </row>
    <row r="12" ht="21.75" customHeight="1">
      <c r="A12" s="229" t="s">
        <v>1248</v>
      </c>
      <c r="B12" s="230">
        <v>88268.0</v>
      </c>
      <c r="C12" s="230">
        <v>350018.0</v>
      </c>
      <c r="D12" s="230">
        <v>90234.0</v>
      </c>
      <c r="E12" s="230">
        <v>96428.0</v>
      </c>
      <c r="F12" s="230">
        <v>102346.0</v>
      </c>
      <c r="G12" s="230">
        <v>402836.0</v>
      </c>
      <c r="H12" s="230">
        <v>109896.0</v>
      </c>
      <c r="I12" s="230">
        <v>119796.0</v>
      </c>
    </row>
    <row r="14" ht="24.75" customHeight="1">
      <c r="A14" s="226" t="s">
        <v>1252</v>
      </c>
      <c r="B14" s="226"/>
      <c r="C14" s="226"/>
      <c r="D14" s="226"/>
      <c r="E14" s="226"/>
      <c r="F14" s="226"/>
      <c r="G14" s="226"/>
      <c r="H14" s="226"/>
      <c r="I14" s="226"/>
    </row>
    <row r="15" ht="21.75" customHeight="1">
      <c r="A15" s="227" t="s">
        <v>276</v>
      </c>
      <c r="B15" s="228">
        <v>30856.0</v>
      </c>
      <c r="C15" s="228">
        <v>121263.0</v>
      </c>
      <c r="D15" s="228">
        <v>32682.0</v>
      </c>
      <c r="E15" s="228">
        <v>33063.0</v>
      </c>
      <c r="F15" s="228">
        <v>33527.0</v>
      </c>
      <c r="G15" s="228">
        <v>139404.0</v>
      </c>
      <c r="H15" s="228">
        <v>40589.0</v>
      </c>
      <c r="I15" s="228">
        <v>39544.0</v>
      </c>
    </row>
    <row r="16" ht="21.75" customHeight="1">
      <c r="A16" s="227" t="s">
        <v>278</v>
      </c>
      <c r="B16" s="228">
        <v>1947.0</v>
      </c>
      <c r="C16" s="228">
        <v>6112.0</v>
      </c>
      <c r="D16" s="228">
        <v>2177.0</v>
      </c>
      <c r="E16" s="228">
        <v>2826.0</v>
      </c>
      <c r="F16" s="228">
        <v>3594.0</v>
      </c>
      <c r="G16" s="228">
        <v>13910.0</v>
      </c>
      <c r="H16" s="228">
        <v>6598.0</v>
      </c>
      <c r="I16" s="228">
        <v>8814.0</v>
      </c>
    </row>
    <row r="17" ht="21.75" customHeight="1">
      <c r="A17" s="227" t="s">
        <v>280</v>
      </c>
      <c r="B17" s="228">
        <v>-1116.0</v>
      </c>
      <c r="C17" s="228">
        <v>-4444.0</v>
      </c>
      <c r="D17" s="228">
        <v>-1226.0</v>
      </c>
      <c r="E17" s="228">
        <v>-1246.0</v>
      </c>
      <c r="F17" s="228">
        <v>-1426.0</v>
      </c>
      <c r="G17" s="228">
        <v>-7515.0</v>
      </c>
      <c r="H17" s="228">
        <v>-2100.0</v>
      </c>
      <c r="I17" s="228">
        <v>-1799.0</v>
      </c>
    </row>
    <row r="18" ht="21.75" customHeight="1">
      <c r="A18" s="227" t="s">
        <v>1253</v>
      </c>
      <c r="B18" s="228">
        <v>-3166.0</v>
      </c>
      <c r="C18" s="228">
        <v>-10541.0</v>
      </c>
      <c r="D18" s="228">
        <v>-3027.0</v>
      </c>
      <c r="E18" s="228">
        <v>-3372.0</v>
      </c>
      <c r="F18" s="228">
        <v>-4467.0</v>
      </c>
      <c r="G18" s="228">
        <v>-16760.0</v>
      </c>
      <c r="H18" s="228">
        <v>-5391.0</v>
      </c>
      <c r="I18" s="228">
        <v>-5789.0</v>
      </c>
    </row>
    <row r="19" ht="21.75" customHeight="1">
      <c r="A19" s="229" t="s">
        <v>1254</v>
      </c>
      <c r="B19" s="230">
        <v>28521.0</v>
      </c>
      <c r="C19" s="230">
        <v>112390.0</v>
      </c>
      <c r="D19" s="230">
        <v>30606.0</v>
      </c>
      <c r="E19" s="230">
        <v>31271.0</v>
      </c>
      <c r="F19" s="230">
        <v>31228.0</v>
      </c>
      <c r="G19" s="230">
        <v>129039.0</v>
      </c>
      <c r="H19" s="230">
        <v>39696.0</v>
      </c>
      <c r="I19" s="230">
        <v>40770.0</v>
      </c>
    </row>
    <row r="21" ht="24.75" customHeight="1">
      <c r="A21" s="226" t="s">
        <v>1255</v>
      </c>
      <c r="B21" s="226"/>
      <c r="C21" s="226"/>
      <c r="D21" s="226"/>
      <c r="E21" s="226"/>
      <c r="F21" s="226"/>
      <c r="G21" s="226"/>
      <c r="H21" s="226"/>
      <c r="I21" s="226"/>
    </row>
    <row r="22" ht="21.75" customHeight="1">
      <c r="A22" s="227" t="s">
        <v>1256</v>
      </c>
      <c r="B22" s="228"/>
      <c r="C22" s="228">
        <v>44560.0</v>
      </c>
      <c r="D22" s="228">
        <v>11337.0</v>
      </c>
      <c r="E22" s="228">
        <v>11306.0</v>
      </c>
      <c r="F22" s="228">
        <v>11070.0</v>
      </c>
      <c r="G22" s="228">
        <v>45124.0</v>
      </c>
      <c r="H22" s="228">
        <v>12206.0</v>
      </c>
      <c r="I22" s="228">
        <v>12275.0</v>
      </c>
    </row>
    <row r="23" ht="21.75" customHeight="1">
      <c r="A23" s="227" t="s">
        <v>1257</v>
      </c>
      <c r="B23" s="228"/>
      <c r="C23" s="228">
        <v>139107.0</v>
      </c>
      <c r="D23" s="228">
        <v>33245.0</v>
      </c>
      <c r="E23" s="228">
        <v>38174.0</v>
      </c>
      <c r="F23" s="228">
        <v>42455.0</v>
      </c>
      <c r="G23" s="228">
        <v>158193.0</v>
      </c>
      <c r="H23" s="228">
        <v>36842.0</v>
      </c>
      <c r="I23" s="228">
        <v>42721.0</v>
      </c>
    </row>
    <row r="24" ht="21.75" customHeight="1">
      <c r="A24" s="229" t="s">
        <v>1258</v>
      </c>
      <c r="B24" s="230"/>
      <c r="C24" s="230">
        <v>183667.0</v>
      </c>
      <c r="D24" s="230">
        <v>44582.0</v>
      </c>
      <c r="E24" s="230">
        <v>49480.0</v>
      </c>
      <c r="F24" s="230">
        <v>53525.0</v>
      </c>
      <c r="G24" s="230">
        <v>203317.0</v>
      </c>
      <c r="H24" s="230">
        <v>49048.0</v>
      </c>
      <c r="I24" s="230">
        <v>54996.0</v>
      </c>
    </row>
    <row r="25"/>
    <row r="26" ht="24.75" customHeight="1">
      <c r="A26" s="226" t="s">
        <v>1259</v>
      </c>
      <c r="B26" s="226"/>
      <c r="C26" s="226"/>
      <c r="D26" s="226"/>
      <c r="E26" s="226"/>
      <c r="F26" s="226"/>
      <c r="G26" s="226"/>
      <c r="H26" s="226"/>
      <c r="I26" s="226"/>
    </row>
    <row r="27" ht="21.75" customHeight="1">
      <c r="A27" s="227" t="s">
        <v>1256</v>
      </c>
      <c r="B27" s="228"/>
      <c r="C27" s="228">
        <v>20519.0</v>
      </c>
      <c r="D27" s="228">
        <v>5412.0</v>
      </c>
      <c r="E27" s="228">
        <v>5517.0</v>
      </c>
      <c r="F27" s="228">
        <v>5586.0</v>
      </c>
      <c r="G27" s="228">
        <v>22078.0</v>
      </c>
      <c r="H27" s="228">
        <v>6443.0</v>
      </c>
      <c r="I27" s="228">
        <v>6933.0</v>
      </c>
    </row>
    <row r="28" ht="21.75" customHeight="1">
      <c r="A28" s="227" t="s">
        <v>1257</v>
      </c>
      <c r="B28" s="228"/>
      <c r="C28" s="228">
        <v>16598.0</v>
      </c>
      <c r="D28" s="228">
        <v>4671.0</v>
      </c>
      <c r="E28" s="228">
        <v>5281.0</v>
      </c>
      <c r="F28" s="228">
        <v>5977.0</v>
      </c>
      <c r="G28" s="228">
        <v>22717.0</v>
      </c>
      <c r="H28" s="228">
        <v>6987.0</v>
      </c>
      <c r="I28" s="228">
        <v>9021.0</v>
      </c>
    </row>
    <row r="29" ht="21.75" customHeight="1">
      <c r="A29" s="229" t="s">
        <v>1260</v>
      </c>
      <c r="B29" s="230"/>
      <c r="C29" s="230">
        <v>37117.0</v>
      </c>
      <c r="D29" s="230">
        <v>10083.0</v>
      </c>
      <c r="E29" s="230">
        <v>10798.0</v>
      </c>
      <c r="F29" s="230">
        <v>11563.0</v>
      </c>
      <c r="G29" s="230">
        <v>44795.0</v>
      </c>
      <c r="H29" s="230">
        <v>13430.0</v>
      </c>
      <c r="I29" s="230">
        <v>15954.0</v>
      </c>
    </row>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8.0"/>
    <col customWidth="1" min="2" max="2" width="12.0"/>
    <col customWidth="1" min="3" max="3" width="16.0"/>
    <col customWidth="1" min="4" max="5" width="24.0"/>
    <col customWidth="1" min="6" max="6" width="110.0"/>
    <col customWidth="1" min="7" max="26" width="8.63"/>
  </cols>
  <sheetData>
    <row r="1" ht="33.75" customHeight="1">
      <c r="A1" s="221" t="s">
        <v>1261</v>
      </c>
    </row>
    <row r="2">
      <c r="A2" s="222" t="s">
        <v>1262</v>
      </c>
    </row>
    <row r="4" ht="24.75" customHeight="1">
      <c r="A4" s="223" t="s">
        <v>1263</v>
      </c>
      <c r="B4" s="223" t="s">
        <v>1264</v>
      </c>
      <c r="C4" s="223" t="s">
        <v>1265</v>
      </c>
      <c r="D4" s="223" t="s">
        <v>1266</v>
      </c>
      <c r="E4" s="223" t="s">
        <v>1267</v>
      </c>
      <c r="F4" s="223" t="s">
        <v>1268</v>
      </c>
    </row>
    <row r="5">
      <c r="A5" s="232" t="s">
        <v>1126</v>
      </c>
      <c r="B5" s="232" t="s">
        <v>1269</v>
      </c>
      <c r="C5" s="232" t="s">
        <v>1156</v>
      </c>
      <c r="D5" s="232" t="s">
        <v>1135</v>
      </c>
      <c r="E5" s="232" t="s">
        <v>1201</v>
      </c>
      <c r="F5" s="232" t="s">
        <v>1270</v>
      </c>
    </row>
    <row r="6">
      <c r="A6" s="232" t="s">
        <v>1127</v>
      </c>
      <c r="B6" s="232" t="s">
        <v>1271</v>
      </c>
      <c r="C6" s="232" t="s">
        <v>1157</v>
      </c>
      <c r="D6" s="232" t="s">
        <v>1136</v>
      </c>
      <c r="E6" s="232" t="s">
        <v>1136</v>
      </c>
      <c r="F6" s="232" t="s">
        <v>1272</v>
      </c>
    </row>
    <row r="7">
      <c r="A7" s="232" t="s">
        <v>1128</v>
      </c>
      <c r="B7" s="232" t="s">
        <v>1269</v>
      </c>
      <c r="C7" s="232" t="s">
        <v>1158</v>
      </c>
      <c r="D7" s="232" t="s">
        <v>1135</v>
      </c>
      <c r="E7" s="232" t="s">
        <v>1135</v>
      </c>
      <c r="F7" s="232" t="s">
        <v>1273</v>
      </c>
    </row>
    <row r="8">
      <c r="A8" s="232" t="s">
        <v>1129</v>
      </c>
      <c r="B8" s="232" t="s">
        <v>1269</v>
      </c>
      <c r="C8" s="232" t="s">
        <v>1159</v>
      </c>
      <c r="D8" s="232" t="s">
        <v>1135</v>
      </c>
      <c r="E8" s="232" t="s">
        <v>1202</v>
      </c>
      <c r="F8" s="232" t="s">
        <v>1274</v>
      </c>
    </row>
    <row r="9">
      <c r="A9" s="232" t="s">
        <v>1130</v>
      </c>
      <c r="B9" s="232" t="s">
        <v>1269</v>
      </c>
      <c r="C9" s="232" t="s">
        <v>1160</v>
      </c>
      <c r="D9" s="232" t="s">
        <v>1135</v>
      </c>
      <c r="E9" s="232" t="s">
        <v>1201</v>
      </c>
      <c r="F9" s="232" t="s">
        <v>1275</v>
      </c>
    </row>
    <row r="10">
      <c r="A10" s="232" t="s">
        <v>1131</v>
      </c>
      <c r="B10" s="232" t="s">
        <v>1271</v>
      </c>
      <c r="C10" s="232" t="s">
        <v>1161</v>
      </c>
      <c r="D10" s="232" t="s">
        <v>1136</v>
      </c>
      <c r="E10" s="232" t="s">
        <v>1136</v>
      </c>
      <c r="F10" s="232" t="s">
        <v>1276</v>
      </c>
    </row>
    <row r="11">
      <c r="A11" s="232" t="s">
        <v>1132</v>
      </c>
      <c r="B11" s="232" t="s">
        <v>1269</v>
      </c>
      <c r="C11" s="232" t="s">
        <v>1162</v>
      </c>
      <c r="D11" s="232" t="s">
        <v>1135</v>
      </c>
      <c r="E11" s="232" t="s">
        <v>1135</v>
      </c>
      <c r="F11" s="232" t="s">
        <v>1277</v>
      </c>
    </row>
    <row r="12">
      <c r="A12" s="232" t="s">
        <v>1133</v>
      </c>
      <c r="B12" s="232" t="s">
        <v>1269</v>
      </c>
      <c r="C12" s="232" t="s">
        <v>1163</v>
      </c>
      <c r="D12" s="232" t="s">
        <v>1135</v>
      </c>
      <c r="E12" s="232" t="s">
        <v>1202</v>
      </c>
      <c r="F12" s="232" t="s">
        <v>981</v>
      </c>
    </row>
    <row r="14" ht="24.75" customHeight="1">
      <c r="A14" s="226" t="s">
        <v>1278</v>
      </c>
      <c r="B14" s="226"/>
      <c r="C14" s="226"/>
      <c r="D14" s="226"/>
      <c r="E14" s="226"/>
      <c r="F14" s="226"/>
    </row>
    <row r="15">
      <c r="A15" s="222" t="s">
        <v>1279</v>
      </c>
    </row>
    <row r="16">
      <c r="A16" s="222" t="s">
        <v>1280</v>
      </c>
    </row>
    <row r="17">
      <c r="A17" s="222" t="s">
        <v>1281</v>
      </c>
    </row>
    <row r="18">
      <c r="A18" s="222" t="s">
        <v>1282</v>
      </c>
    </row>
    <row r="19">
      <c r="A19" s="222" t="s">
        <v>1283</v>
      </c>
    </row>
    <row r="20">
      <c r="A20" s="222" t="s">
        <v>1284</v>
      </c>
    </row>
    <row r="21"/>
    <row r="22"/>
    <row r="23"/>
    <row r="24"/>
    <row r="25"/>
    <row r="26"/>
    <row r="27"/>
    <row r="28"/>
    <row r="29"/>
    <row r="30"/>
    <row r="31"/>
    <row r="32"/>
    <row r="33"/>
    <row r="34"/>
    <row r="35">
      <c r="A35" s="6" t="s">
        <v>1285</v>
      </c>
      <c r="B35" s="58" t="s">
        <v>1062</v>
      </c>
      <c r="C35" s="58" t="s">
        <v>1063</v>
      </c>
      <c r="D35" s="58" t="s">
        <v>1064</v>
      </c>
      <c r="E35" s="58" t="s">
        <v>1065</v>
      </c>
      <c r="F35" s="6" t="s">
        <v>6</v>
      </c>
      <c r="G35" s="6" t="s">
        <v>980</v>
      </c>
      <c r="H35" s="6"/>
      <c r="I35" s="6"/>
      <c r="J35" s="6"/>
    </row>
    <row r="36">
      <c r="A36" s="3" t="s">
        <v>1286</v>
      </c>
      <c r="B36" s="233">
        <v>2300.0</v>
      </c>
      <c r="C36" s="233">
        <v>3000.0</v>
      </c>
      <c r="D36" s="233">
        <v>0.0</v>
      </c>
      <c r="E36" s="233">
        <v>0.0</v>
      </c>
      <c r="F36" s="10" t="s">
        <v>1287</v>
      </c>
      <c r="G36" s="10" t="s">
        <v>1288</v>
      </c>
      <c r="H36" s="10"/>
      <c r="I36" s="10"/>
      <c r="J36" s="10"/>
    </row>
    <row r="37">
      <c r="A37" s="3" t="s">
        <v>1289</v>
      </c>
      <c r="B37" s="233">
        <v>999.0</v>
      </c>
      <c r="C37" s="233">
        <v>1000.0</v>
      </c>
      <c r="D37" s="233">
        <v>1996.0</v>
      </c>
      <c r="E37" s="233">
        <v>1999.0</v>
      </c>
      <c r="F37" s="10" t="s">
        <v>1287</v>
      </c>
      <c r="G37" s="10" t="s">
        <v>1288</v>
      </c>
      <c r="H37" s="10"/>
      <c r="I37" s="10"/>
      <c r="J37" s="10"/>
    </row>
    <row r="38">
      <c r="A38" s="3" t="s">
        <v>1290</v>
      </c>
      <c r="B38" s="233">
        <v>235.0</v>
      </c>
      <c r="C38" s="233">
        <v>100.0</v>
      </c>
      <c r="D38" s="233">
        <v>441.0</v>
      </c>
      <c r="E38" s="233">
        <v>449.0</v>
      </c>
      <c r="F38" s="10" t="s">
        <v>1287</v>
      </c>
      <c r="G38" s="10" t="s">
        <v>1288</v>
      </c>
      <c r="H38" s="10"/>
      <c r="I38" s="10"/>
      <c r="J38" s="10"/>
    </row>
    <row r="39">
      <c r="A39" s="3" t="s">
        <v>1291</v>
      </c>
      <c r="B39" s="233">
        <v>2887.0</v>
      </c>
      <c r="C39" s="233">
        <v>3007.0</v>
      </c>
      <c r="D39" s="233">
        <v>3209.0</v>
      </c>
      <c r="E39" s="233">
        <v>3446.0</v>
      </c>
      <c r="F39" s="10" t="s">
        <v>1287</v>
      </c>
      <c r="G39" s="10" t="s">
        <v>1288</v>
      </c>
      <c r="H39" s="10"/>
      <c r="I39" s="10"/>
      <c r="J39" s="10"/>
    </row>
    <row r="40">
      <c r="A40" s="3" t="s">
        <v>1292</v>
      </c>
      <c r="B40" s="233">
        <v>3866.0</v>
      </c>
      <c r="C40" s="233">
        <v>3112.0</v>
      </c>
      <c r="D40" s="233">
        <v>950.0</v>
      </c>
      <c r="E40" s="233">
        <v>822.0</v>
      </c>
      <c r="F40" s="10" t="s">
        <v>1287</v>
      </c>
      <c r="G40" s="10" t="s">
        <v>1288</v>
      </c>
      <c r="H40" s="10"/>
      <c r="I40" s="10"/>
      <c r="J40" s="10"/>
    </row>
    <row r="41">
      <c r="A41" s="3" t="s">
        <v>1293</v>
      </c>
      <c r="B41" s="233">
        <v>2905.0</v>
      </c>
      <c r="C41" s="233">
        <v>786.0</v>
      </c>
      <c r="D41" s="233">
        <v>523.0</v>
      </c>
      <c r="E41" s="233">
        <v>5233.0</v>
      </c>
      <c r="F41" s="10" t="s">
        <v>1287</v>
      </c>
      <c r="G41" s="10" t="s">
        <v>1288</v>
      </c>
      <c r="H41" s="10"/>
      <c r="I41" s="10"/>
      <c r="J41" s="10"/>
    </row>
    <row r="42">
      <c r="A42" s="3" t="s">
        <v>1294</v>
      </c>
      <c r="B42" s="233">
        <v>10326.0</v>
      </c>
      <c r="C42" s="233">
        <v>10618.0</v>
      </c>
      <c r="D42" s="233">
        <v>15090.0</v>
      </c>
      <c r="E42" s="233">
        <v>29113.0</v>
      </c>
      <c r="F42" s="10" t="s">
        <v>1295</v>
      </c>
      <c r="G42" s="10" t="s">
        <v>1288</v>
      </c>
      <c r="H42" s="10"/>
      <c r="I42" s="10"/>
      <c r="J42" s="10"/>
    </row>
    <row r="43">
      <c r="A43" s="3" t="s">
        <v>1296</v>
      </c>
      <c r="B43" s="233">
        <v>50597.0</v>
      </c>
      <c r="C43" s="233">
        <v>61700.0</v>
      </c>
      <c r="D43" s="233">
        <v>78592.0</v>
      </c>
      <c r="E43" s="233">
        <v>122814.0</v>
      </c>
      <c r="F43" s="10" t="s">
        <v>1297</v>
      </c>
      <c r="G43" s="10" t="s">
        <v>1288</v>
      </c>
      <c r="H43" s="10"/>
      <c r="I43" s="10"/>
      <c r="J43" s="10"/>
    </row>
    <row r="44">
      <c r="A44" s="3"/>
      <c r="B44" s="3"/>
      <c r="C44" s="3"/>
      <c r="D44" s="3"/>
      <c r="E44" s="3"/>
      <c r="F44" s="10"/>
      <c r="G44" s="10"/>
      <c r="H44" s="10"/>
      <c r="I44" s="10"/>
      <c r="J44" s="10"/>
    </row>
    <row r="45">
      <c r="A45" s="3"/>
      <c r="B45" s="3"/>
      <c r="C45" s="3"/>
      <c r="D45" s="3"/>
      <c r="E45" s="3"/>
      <c r="F45" s="10"/>
      <c r="G45" s="10"/>
      <c r="H45" s="10"/>
      <c r="I45" s="10"/>
      <c r="J45" s="10"/>
    </row>
    <row r="46">
      <c r="A46" s="6" t="s">
        <v>364</v>
      </c>
      <c r="B46" s="6" t="s">
        <v>1018</v>
      </c>
      <c r="C46" s="6" t="s">
        <v>1019</v>
      </c>
      <c r="D46" s="6" t="s">
        <v>1020</v>
      </c>
      <c r="E46" s="6" t="s">
        <v>49</v>
      </c>
      <c r="F46" s="58" t="s">
        <v>50</v>
      </c>
      <c r="G46" s="58" t="s">
        <v>51</v>
      </c>
      <c r="H46" s="58" t="s">
        <v>52</v>
      </c>
      <c r="I46" s="58" t="s">
        <v>53</v>
      </c>
      <c r="J46" s="58" t="s">
        <v>54</v>
      </c>
    </row>
    <row r="47">
      <c r="A47" s="3" t="s">
        <v>1298</v>
      </c>
      <c r="B47" s="3"/>
      <c r="C47" s="233">
        <v>246.0</v>
      </c>
      <c r="D47" s="233">
        <v>545.0</v>
      </c>
      <c r="E47" s="233">
        <v>747.0</v>
      </c>
      <c r="F47" s="234">
        <v>1304.0</v>
      </c>
      <c r="G47" s="234">
        <v>1142.0</v>
      </c>
      <c r="H47" s="234">
        <v>1096.0</v>
      </c>
      <c r="I47" s="234">
        <v>1055.0</v>
      </c>
      <c r="J47" s="10"/>
    </row>
    <row r="48">
      <c r="A48" s="55" t="s">
        <v>1299</v>
      </c>
    </row>
    <row r="49">
      <c r="A49" s="55" t="s">
        <v>981</v>
      </c>
    </row>
    <row r="50">
      <c r="A50" s="3"/>
      <c r="B50" s="3"/>
      <c r="C50" s="3"/>
      <c r="D50" s="3"/>
      <c r="E50" s="3"/>
      <c r="F50" s="10"/>
      <c r="G50" s="10"/>
      <c r="H50" s="10"/>
      <c r="I50" s="10"/>
      <c r="J50" s="10"/>
    </row>
    <row r="51">
      <c r="A51" s="3" t="s">
        <v>1300</v>
      </c>
      <c r="B51" s="233">
        <v>195000.0</v>
      </c>
      <c r="C51" s="3" t="s">
        <v>74</v>
      </c>
      <c r="D51" s="3" t="s">
        <v>1301</v>
      </c>
      <c r="E51" s="3"/>
      <c r="F51" s="10"/>
      <c r="G51" s="10"/>
      <c r="H51" s="10"/>
      <c r="I51" s="10"/>
      <c r="J51" s="10"/>
    </row>
    <row r="52">
      <c r="A52" s="3" t="s">
        <v>1302</v>
      </c>
      <c r="B52" s="233">
        <v>205000.0</v>
      </c>
      <c r="C52" s="3" t="s">
        <v>74</v>
      </c>
      <c r="D52" s="3" t="s">
        <v>1303</v>
      </c>
      <c r="E52" s="3"/>
      <c r="F52" s="10"/>
      <c r="G52" s="10"/>
      <c r="H52" s="10"/>
      <c r="I52" s="10"/>
      <c r="J52" s="10"/>
    </row>
    <row r="53">
      <c r="A53" s="3" t="s">
        <v>1304</v>
      </c>
      <c r="B53" s="233">
        <v>200700.0</v>
      </c>
      <c r="C53" s="235" t="s">
        <v>1305</v>
      </c>
      <c r="D53" s="3" t="s">
        <v>981</v>
      </c>
      <c r="E53" s="3"/>
      <c r="F53" s="10"/>
      <c r="G53" s="10"/>
      <c r="H53" s="10"/>
      <c r="I53" s="10"/>
      <c r="J53" s="10"/>
    </row>
    <row r="54">
      <c r="A54" s="3" t="s">
        <v>1306</v>
      </c>
      <c r="B54" s="233">
        <v>7100.0</v>
      </c>
      <c r="C54" s="3" t="s">
        <v>1307</v>
      </c>
      <c r="D54" s="3" t="s">
        <v>981</v>
      </c>
      <c r="E54" s="3"/>
      <c r="F54" s="10"/>
      <c r="G54" s="10"/>
      <c r="H54" s="10"/>
      <c r="I54" s="10"/>
      <c r="J54" s="10"/>
    </row>
    <row r="55">
      <c r="A55" s="3" t="s">
        <v>1308</v>
      </c>
      <c r="B55" s="233">
        <v>2590.0</v>
      </c>
      <c r="C55" s="3" t="s">
        <v>1309</v>
      </c>
      <c r="D55" s="3" t="s">
        <v>981</v>
      </c>
      <c r="E55" s="3"/>
      <c r="F55" s="10"/>
      <c r="G55" s="10"/>
      <c r="H55" s="10"/>
      <c r="I55" s="10"/>
      <c r="J55" s="10"/>
    </row>
    <row r="56">
      <c r="A56" s="3" t="s">
        <v>1310</v>
      </c>
      <c r="B56" s="233">
        <v>3550.0</v>
      </c>
      <c r="C56" s="3" t="s">
        <v>1311</v>
      </c>
      <c r="D56" s="3" t="s">
        <v>981</v>
      </c>
      <c r="E56" s="3"/>
      <c r="F56" s="10"/>
      <c r="G56" s="10"/>
      <c r="H56" s="10"/>
      <c r="I56" s="10"/>
      <c r="J56" s="10"/>
    </row>
    <row r="57">
      <c r="A57" s="3"/>
      <c r="B57" s="3"/>
      <c r="C57" s="3"/>
      <c r="D57" s="3"/>
      <c r="E57" s="3"/>
      <c r="F57" s="10"/>
      <c r="G57" s="10"/>
      <c r="H57" s="10"/>
      <c r="I57" s="10"/>
      <c r="J57" s="10"/>
    </row>
    <row r="58">
      <c r="A58" s="55" t="s">
        <v>1312</v>
      </c>
    </row>
    <row r="59">
      <c r="A59" s="3"/>
      <c r="B59" s="3"/>
      <c r="C59" s="3"/>
      <c r="D59" s="3"/>
      <c r="E59" s="3"/>
      <c r="F59" s="10"/>
      <c r="G59" s="10"/>
      <c r="H59" s="10"/>
      <c r="I59" s="10"/>
      <c r="J59" s="10"/>
    </row>
    <row r="60">
      <c r="A60" s="6" t="s">
        <v>1313</v>
      </c>
      <c r="B60" s="6">
        <v>2021.0</v>
      </c>
      <c r="C60" s="6">
        <v>2022.0</v>
      </c>
      <c r="D60" s="6">
        <v>2023.0</v>
      </c>
      <c r="E60" s="6">
        <v>2024.0</v>
      </c>
      <c r="F60" s="6">
        <v>2025.0</v>
      </c>
      <c r="G60" s="6" t="s">
        <v>980</v>
      </c>
      <c r="H60" s="6"/>
      <c r="I60" s="6"/>
      <c r="J60" s="6"/>
    </row>
    <row r="61">
      <c r="A61" s="3" t="s">
        <v>609</v>
      </c>
      <c r="B61" s="233">
        <v>257637.0</v>
      </c>
      <c r="C61" s="233">
        <v>282836.0</v>
      </c>
      <c r="D61" s="233">
        <v>307394.0</v>
      </c>
      <c r="E61" s="233">
        <v>350018.0</v>
      </c>
      <c r="F61" s="234">
        <v>402836.0</v>
      </c>
      <c r="G61" s="10" t="s">
        <v>1314</v>
      </c>
      <c r="H61" s="10"/>
      <c r="I61" s="10"/>
      <c r="J61" s="10"/>
    </row>
    <row r="62">
      <c r="A62" s="3" t="s">
        <v>1099</v>
      </c>
      <c r="B62" s="233">
        <v>78714.0</v>
      </c>
      <c r="C62" s="233">
        <v>74842.0</v>
      </c>
      <c r="D62" s="233">
        <v>84293.0</v>
      </c>
      <c r="E62" s="233">
        <v>112390.0</v>
      </c>
      <c r="F62" s="234">
        <v>129039.0</v>
      </c>
      <c r="G62" s="10" t="s">
        <v>1314</v>
      </c>
      <c r="H62" s="10"/>
      <c r="I62" s="10"/>
      <c r="J62" s="10"/>
    </row>
    <row r="63">
      <c r="A63" s="3" t="s">
        <v>1100</v>
      </c>
      <c r="B63" s="233">
        <v>237529.0</v>
      </c>
      <c r="C63" s="233">
        <v>253528.0</v>
      </c>
      <c r="D63" s="233">
        <v>272543.0</v>
      </c>
      <c r="E63" s="233">
        <v>304930.0</v>
      </c>
      <c r="F63" s="234">
        <v>342721.0</v>
      </c>
      <c r="G63" s="10" t="s">
        <v>1314</v>
      </c>
      <c r="H63" s="10"/>
      <c r="I63" s="10"/>
      <c r="J63" s="10"/>
    </row>
    <row r="64">
      <c r="A64" s="3" t="s">
        <v>1101</v>
      </c>
      <c r="B64" s="233">
        <v>88132.0</v>
      </c>
      <c r="C64" s="233">
        <v>82699.0</v>
      </c>
      <c r="D64" s="233">
        <v>95858.0</v>
      </c>
      <c r="E64" s="233">
        <v>121263.0</v>
      </c>
      <c r="F64" s="234">
        <v>139404.0</v>
      </c>
      <c r="G64" s="10" t="s">
        <v>1314</v>
      </c>
      <c r="H64" s="10"/>
      <c r="I64" s="10"/>
      <c r="J64" s="10"/>
    </row>
    <row r="65">
      <c r="A65" s="3" t="s">
        <v>1102</v>
      </c>
      <c r="B65" s="233">
        <v>19206.0</v>
      </c>
      <c r="C65" s="233">
        <v>26280.0</v>
      </c>
      <c r="D65" s="233">
        <v>33088.0</v>
      </c>
      <c r="E65" s="233">
        <v>43229.0</v>
      </c>
      <c r="F65" s="234">
        <v>58705.0</v>
      </c>
      <c r="G65" s="10" t="s">
        <v>1314</v>
      </c>
      <c r="H65" s="10"/>
      <c r="I65" s="10"/>
      <c r="J65" s="10"/>
    </row>
    <row r="66">
      <c r="A66" s="3" t="s">
        <v>1103</v>
      </c>
      <c r="B66" s="233">
        <v>-2282.0</v>
      </c>
      <c r="C66" s="233">
        <v>-1922.0</v>
      </c>
      <c r="D66" s="233">
        <v>1716.0</v>
      </c>
      <c r="E66" s="233">
        <v>6112.0</v>
      </c>
      <c r="F66" s="234">
        <v>13910.0</v>
      </c>
      <c r="G66" s="10" t="s">
        <v>1314</v>
      </c>
      <c r="H66" s="10"/>
      <c r="I66" s="10"/>
      <c r="J66" s="10"/>
    </row>
    <row r="67">
      <c r="A67" s="3" t="s">
        <v>1071</v>
      </c>
      <c r="B67" s="233">
        <v>97599.0</v>
      </c>
      <c r="C67" s="233">
        <v>112668.0</v>
      </c>
      <c r="D67" s="233">
        <v>134345.0</v>
      </c>
      <c r="E67" s="233">
        <v>171036.0</v>
      </c>
      <c r="F67" s="234">
        <v>246597.0</v>
      </c>
      <c r="G67" s="10" t="s">
        <v>1314</v>
      </c>
      <c r="H67" s="10"/>
      <c r="I67" s="10"/>
      <c r="J67" s="10"/>
    </row>
    <row r="68">
      <c r="A68" s="3" t="s">
        <v>1036</v>
      </c>
      <c r="B68" s="233">
        <v>91652.0</v>
      </c>
      <c r="C68" s="233">
        <v>91495.0</v>
      </c>
      <c r="D68" s="233">
        <v>101746.0</v>
      </c>
      <c r="E68" s="233">
        <v>125299.0</v>
      </c>
      <c r="F68" s="234">
        <v>164713.0</v>
      </c>
      <c r="G68" s="10" t="s">
        <v>1314</v>
      </c>
      <c r="H68" s="10"/>
      <c r="I68" s="10"/>
      <c r="J68" s="10"/>
    </row>
    <row r="69">
      <c r="A69" s="3" t="s">
        <v>369</v>
      </c>
      <c r="B69" s="233">
        <v>24640.0</v>
      </c>
      <c r="C69" s="233">
        <v>31485.0</v>
      </c>
      <c r="D69" s="233">
        <v>32251.0</v>
      </c>
      <c r="E69" s="233">
        <v>52535.0</v>
      </c>
      <c r="F69" s="234">
        <v>91447.0</v>
      </c>
      <c r="G69" s="10" t="s">
        <v>1314</v>
      </c>
      <c r="H69" s="10"/>
      <c r="I69" s="10"/>
      <c r="J69" s="10"/>
    </row>
    <row r="70">
      <c r="A70" s="3" t="s">
        <v>1038</v>
      </c>
      <c r="B70" s="233">
        <v>15376.0</v>
      </c>
      <c r="C70" s="233">
        <v>19362.0</v>
      </c>
      <c r="D70" s="233">
        <v>22460.0</v>
      </c>
      <c r="E70" s="233">
        <v>22785.0</v>
      </c>
      <c r="F70" s="234">
        <v>24953.0</v>
      </c>
      <c r="G70" s="10" t="s">
        <v>1314</v>
      </c>
      <c r="H70" s="10"/>
      <c r="I70" s="10"/>
      <c r="J70" s="10"/>
    </row>
    <row r="71">
      <c r="A71" s="3" t="s">
        <v>1040</v>
      </c>
      <c r="B71" s="233">
        <v>10273.0</v>
      </c>
      <c r="C71" s="233">
        <v>13475.0</v>
      </c>
      <c r="D71" s="233">
        <v>11946.0</v>
      </c>
      <c r="E71" s="233">
        <v>15311.0</v>
      </c>
      <c r="F71" s="234">
        <v>21136.0</v>
      </c>
      <c r="G71" s="10" t="s">
        <v>1314</v>
      </c>
      <c r="H71" s="10"/>
      <c r="I71" s="10"/>
      <c r="J71" s="10"/>
    </row>
    <row r="72">
      <c r="A72" s="3"/>
      <c r="B72" s="3"/>
      <c r="C72" s="3"/>
      <c r="D72" s="3"/>
      <c r="E72" s="3"/>
      <c r="F72" s="10"/>
      <c r="G72" s="10"/>
      <c r="H72" s="10"/>
      <c r="I72" s="10"/>
      <c r="J72" s="10"/>
    </row>
    <row r="73">
      <c r="A73" s="3"/>
      <c r="B73" s="3"/>
      <c r="C73" s="3"/>
      <c r="D73" s="3"/>
      <c r="E73" s="3"/>
      <c r="F73" s="10"/>
      <c r="G73" s="10"/>
      <c r="H73" s="10"/>
      <c r="I73" s="10"/>
      <c r="J73" s="10"/>
    </row>
    <row r="74">
      <c r="A74" s="6" t="s">
        <v>1315</v>
      </c>
      <c r="B74" s="6" t="s">
        <v>1018</v>
      </c>
      <c r="C74" s="6" t="s">
        <v>340</v>
      </c>
      <c r="D74" s="6" t="s">
        <v>1316</v>
      </c>
      <c r="E74" s="6"/>
      <c r="F74" s="6"/>
      <c r="G74" s="6"/>
      <c r="H74" s="6"/>
      <c r="I74" s="6"/>
      <c r="J74" s="6"/>
    </row>
    <row r="75">
      <c r="A75" s="3" t="s">
        <v>609</v>
      </c>
      <c r="B75" s="233">
        <v>402836.0</v>
      </c>
      <c r="C75" s="233">
        <v>445866.0</v>
      </c>
      <c r="D75" s="3" t="s">
        <v>1317</v>
      </c>
      <c r="E75" s="3"/>
      <c r="F75" s="10"/>
      <c r="G75" s="10"/>
      <c r="H75" s="10"/>
      <c r="I75" s="10"/>
      <c r="J75" s="10"/>
    </row>
    <row r="76">
      <c r="A76" s="3" t="s">
        <v>696</v>
      </c>
      <c r="B76" s="233">
        <v>129039.0</v>
      </c>
      <c r="C76" s="233">
        <v>147628.0</v>
      </c>
      <c r="D76" s="3" t="s">
        <v>1317</v>
      </c>
      <c r="E76" s="3"/>
      <c r="F76" s="10"/>
      <c r="G76" s="10"/>
      <c r="H76" s="10"/>
      <c r="I76" s="10"/>
      <c r="J76" s="10"/>
    </row>
    <row r="77">
      <c r="A77" s="3" t="s">
        <v>1318</v>
      </c>
      <c r="B77" s="233">
        <v>101940.81</v>
      </c>
      <c r="C77" s="233">
        <v>116626.12</v>
      </c>
      <c r="D77" s="3" t="s">
        <v>1317</v>
      </c>
      <c r="E77" s="3"/>
      <c r="F77" s="10"/>
      <c r="G77" s="10"/>
      <c r="H77" s="10"/>
      <c r="I77" s="10"/>
      <c r="J77" s="10"/>
    </row>
    <row r="78">
      <c r="A78" s="3" t="s">
        <v>1319</v>
      </c>
      <c r="B78" s="233">
        <v>209371.0</v>
      </c>
      <c r="C78" s="233">
        <v>272912.5</v>
      </c>
      <c r="D78" s="3" t="s">
        <v>1317</v>
      </c>
      <c r="E78" s="3"/>
      <c r="F78" s="10"/>
      <c r="G78" s="10"/>
      <c r="H78" s="10"/>
      <c r="I78" s="10"/>
      <c r="J78" s="10"/>
    </row>
    <row r="79">
      <c r="A79" s="3" t="s">
        <v>1037</v>
      </c>
      <c r="B79" s="233">
        <v>73266.0</v>
      </c>
      <c r="C79" s="233">
        <v>53273.0</v>
      </c>
      <c r="D79" s="3" t="s">
        <v>1317</v>
      </c>
      <c r="E79" s="3"/>
      <c r="F79" s="10"/>
      <c r="G79" s="10"/>
      <c r="H79" s="10"/>
      <c r="I79" s="10"/>
      <c r="J79" s="10"/>
    </row>
    <row r="80">
      <c r="A80" s="3" t="s">
        <v>1039</v>
      </c>
      <c r="B80" s="233">
        <v>48313.0</v>
      </c>
      <c r="C80" s="233">
        <v>25126.0</v>
      </c>
      <c r="D80" s="3" t="s">
        <v>1317</v>
      </c>
      <c r="E80" s="3"/>
      <c r="F80" s="10"/>
      <c r="G80" s="10"/>
      <c r="H80" s="10"/>
      <c r="I80" s="10"/>
      <c r="J80" s="10"/>
    </row>
    <row r="81"/>
    <row r="82"/>
    <row r="83">
      <c r="A83" s="6" t="s">
        <v>1320</v>
      </c>
      <c r="B83" s="58" t="s">
        <v>1064</v>
      </c>
      <c r="C83" s="58" t="s">
        <v>1065</v>
      </c>
      <c r="D83" s="6" t="s">
        <v>265</v>
      </c>
    </row>
    <row r="84" ht="33.0" customHeight="1">
      <c r="A84" s="10" t="s">
        <v>1321</v>
      </c>
      <c r="B84" s="43">
        <v>0.0</v>
      </c>
      <c r="C84" s="43">
        <v>7100.0</v>
      </c>
      <c r="D84" s="10" t="s">
        <v>1322</v>
      </c>
    </row>
    <row r="85" ht="33.0" customHeight="1">
      <c r="A85" s="10" t="s">
        <v>1323</v>
      </c>
      <c r="B85" s="43">
        <v>15594.0</v>
      </c>
      <c r="C85" s="43">
        <v>17356.0</v>
      </c>
      <c r="D85" s="10" t="s">
        <v>1324</v>
      </c>
    </row>
    <row r="86" ht="33.0" customHeight="1">
      <c r="A86" s="10" t="s">
        <v>1325</v>
      </c>
      <c r="B86" s="43">
        <v>8877.0</v>
      </c>
      <c r="C86" s="43">
        <v>16196.0</v>
      </c>
      <c r="D86" s="10" t="s">
        <v>1326</v>
      </c>
    </row>
    <row r="87" ht="33.0" customHeight="1">
      <c r="A87" s="10" t="s">
        <v>1327</v>
      </c>
      <c r="B87" s="43"/>
      <c r="C87" s="43">
        <v>5200.0</v>
      </c>
      <c r="D87" s="10" t="s">
        <v>1328</v>
      </c>
    </row>
    <row r="88" ht="33.0" customHeight="1">
      <c r="A88" s="10" t="s">
        <v>1329</v>
      </c>
      <c r="B88" s="43">
        <v>31407.0</v>
      </c>
      <c r="C88" s="43"/>
      <c r="D88" s="10" t="s">
        <v>1330</v>
      </c>
    </row>
    <row r="89" ht="33.0" customHeight="1">
      <c r="A89" s="7" t="s">
        <v>1331</v>
      </c>
      <c r="B89" s="236">
        <v>0.05</v>
      </c>
      <c r="C89" s="43"/>
      <c r="D89" s="237" t="s">
        <v>1332</v>
      </c>
    </row>
    <row r="90" ht="33.0" customHeight="1">
      <c r="A90" s="10" t="s">
        <v>1333</v>
      </c>
      <c r="B90" s="43">
        <v>126000.0</v>
      </c>
      <c r="C90" s="43"/>
      <c r="D90" s="10" t="s">
        <v>1334</v>
      </c>
    </row>
    <row r="91" ht="33.0" customHeight="1">
      <c r="A91" s="10" t="s">
        <v>1335</v>
      </c>
      <c r="B91" s="43">
        <v>16000.0</v>
      </c>
      <c r="C91" s="43"/>
      <c r="D91" s="10" t="s">
        <v>1336</v>
      </c>
    </row>
    <row r="92" ht="33.0" customHeight="1">
      <c r="A92" s="10" t="s">
        <v>1337</v>
      </c>
      <c r="B92" s="43">
        <v>513900.0</v>
      </c>
      <c r="C92" s="43"/>
      <c r="D92" s="10" t="s">
        <v>1338</v>
      </c>
    </row>
    <row r="93" ht="33.0" customHeight="1">
      <c r="A93" s="10" t="s">
        <v>1339</v>
      </c>
      <c r="B93" s="43">
        <v>519500.0</v>
      </c>
      <c r="C93" s="43"/>
      <c r="D93" s="10" t="s">
        <v>1340</v>
      </c>
    </row>
    <row r="94" ht="33.0" customHeight="1">
      <c r="A94" s="10" t="s">
        <v>1341</v>
      </c>
      <c r="B94" s="238">
        <v>0.5</v>
      </c>
      <c r="C94" s="10"/>
      <c r="D94" s="10" t="s">
        <v>1342</v>
      </c>
    </row>
    <row r="95" ht="33.0" customHeight="1">
      <c r="A95" s="10" t="s">
        <v>1343</v>
      </c>
      <c r="B95" s="7" t="s">
        <v>1344</v>
      </c>
      <c r="C95" s="10"/>
      <c r="D95" s="7" t="s">
        <v>1345</v>
      </c>
    </row>
    <row r="96"/>
    <row r="97" ht="33.75" customHeight="1">
      <c r="A97" s="54" t="s">
        <v>1346</v>
      </c>
      <c r="B97" s="54">
        <v>2439.0</v>
      </c>
      <c r="D97" s="54" t="s">
        <v>1347</v>
      </c>
    </row>
    <row r="98" ht="33.75" customHeight="1">
      <c r="A98" s="54" t="s">
        <v>1348</v>
      </c>
      <c r="B98" s="54">
        <v>13870.0</v>
      </c>
      <c r="D98" s="239" t="s">
        <v>981</v>
      </c>
    </row>
    <row r="99"/>
    <row r="100" ht="46.5" customHeight="1">
      <c r="A100" s="81" t="s">
        <v>1349</v>
      </c>
      <c r="B100" s="81">
        <v>79819.0</v>
      </c>
      <c r="C100" s="83"/>
      <c r="D100" s="81" t="s">
        <v>1350</v>
      </c>
    </row>
    <row r="101" ht="46.5" customHeight="1">
      <c r="A101" s="81" t="s">
        <v>1351</v>
      </c>
      <c r="B101" s="81">
        <v>30782.0</v>
      </c>
      <c r="C101" s="83"/>
      <c r="D101" s="81" t="s">
        <v>1352</v>
      </c>
    </row>
    <row r="102" ht="46.5" customHeight="1">
      <c r="A102" s="81" t="s">
        <v>1353</v>
      </c>
      <c r="B102" s="81">
        <v>20000.0</v>
      </c>
      <c r="C102" s="83"/>
      <c r="D102" s="81" t="s">
        <v>1354</v>
      </c>
    </row>
    <row r="103" ht="46.5" customHeight="1">
      <c r="A103" s="81" t="s">
        <v>1355</v>
      </c>
      <c r="B103" s="81">
        <v>2027.0</v>
      </c>
      <c r="C103" s="83"/>
      <c r="D103" s="81" t="s">
        <v>1356</v>
      </c>
    </row>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1">
    <mergeCell ref="A48:J48"/>
    <mergeCell ref="A49:J49"/>
    <mergeCell ref="A58:J58"/>
    <mergeCell ref="D84:J84"/>
    <mergeCell ref="D85:J85"/>
    <mergeCell ref="D86:J86"/>
    <mergeCell ref="D87:J87"/>
    <mergeCell ref="D95:J95"/>
    <mergeCell ref="D97:J97"/>
    <mergeCell ref="D98:J98"/>
    <mergeCell ref="D100:J100"/>
    <mergeCell ref="D101:J101"/>
    <mergeCell ref="D102:J102"/>
    <mergeCell ref="D103:J103"/>
    <mergeCell ref="D88:J88"/>
    <mergeCell ref="D89:J89"/>
    <mergeCell ref="D90:J90"/>
    <mergeCell ref="D91:J91"/>
    <mergeCell ref="D92:J92"/>
    <mergeCell ref="D93:J93"/>
    <mergeCell ref="D94:J94"/>
  </mergeCells>
  <hyperlinks>
    <hyperlink r:id="rId1" ref="D89"/>
    <hyperlink r:id="rId2" ref="D98"/>
  </hyperlinks>
  <printOptions/>
  <pageMargins bottom="0.75" footer="0.0" header="0.0" left="0.7" right="0.7" top="0.75"/>
  <pageSetup orientation="landscape"/>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8" width="12.0"/>
  </cols>
  <sheetData>
    <row r="1">
      <c r="A1" s="158" t="s">
        <v>1357</v>
      </c>
    </row>
    <row r="2">
      <c r="A2" s="89" t="s">
        <v>1358</v>
      </c>
    </row>
    <row r="4">
      <c r="A4" s="89" t="s">
        <v>1359</v>
      </c>
      <c r="B4" s="49">
        <f>Valuation!B29</f>
        <v>0.09383060741</v>
      </c>
    </row>
    <row r="5">
      <c r="A5" s="89" t="s">
        <v>1360</v>
      </c>
      <c r="B5" s="152">
        <f>Transition!B8</f>
        <v>0.08968970499</v>
      </c>
    </row>
    <row r="6">
      <c r="A6" s="89" t="s">
        <v>1361</v>
      </c>
      <c r="B6" s="50">
        <f>Transition!B9</f>
        <v>950091.0513</v>
      </c>
    </row>
    <row r="7">
      <c r="A7" s="89" t="s">
        <v>646</v>
      </c>
      <c r="B7" s="152">
        <f>Transition!B55</f>
        <v>0.2855304844</v>
      </c>
    </row>
    <row r="8">
      <c r="A8" s="89" t="s">
        <v>1362</v>
      </c>
      <c r="B8" s="157">
        <f>Transition!B59</f>
        <v>222449.5656</v>
      </c>
    </row>
    <row r="9">
      <c r="A9" s="89" t="s">
        <v>651</v>
      </c>
      <c r="B9" s="157">
        <f>Transition!B60</f>
        <v>77323.38795</v>
      </c>
    </row>
    <row r="10">
      <c r="A10" s="89" t="s">
        <v>1363</v>
      </c>
      <c r="B10" s="240">
        <f>Assumptions!B192</f>
        <v>0.12</v>
      </c>
    </row>
    <row r="11">
      <c r="A11" s="89" t="s">
        <v>67</v>
      </c>
      <c r="B11" s="241">
        <f>Valuation!B49</f>
        <v>307266.4721</v>
      </c>
    </row>
    <row r="12">
      <c r="A12" s="89" t="s">
        <v>68</v>
      </c>
      <c r="B12" s="241">
        <f>Valuation!B50</f>
        <v>141236.325</v>
      </c>
    </row>
    <row r="13">
      <c r="A13" s="89" t="s">
        <v>7</v>
      </c>
      <c r="B13" s="50">
        <f>Valuation!B7</f>
        <v>3916000</v>
      </c>
    </row>
    <row r="15">
      <c r="A15" s="154" t="s">
        <v>1364</v>
      </c>
      <c r="B15" s="159"/>
      <c r="C15" s="159"/>
      <c r="D15" s="159"/>
      <c r="E15" s="159"/>
      <c r="F15" s="159"/>
    </row>
    <row r="16">
      <c r="A16" s="154" t="s">
        <v>1365</v>
      </c>
      <c r="B16" s="242">
        <f>$B$4-0.02</f>
        <v>0.07383060741</v>
      </c>
      <c r="C16" s="242">
        <f>$B$4-0.01</f>
        <v>0.08383060741</v>
      </c>
      <c r="D16" s="242">
        <f>$B$4</f>
        <v>0.09383060741</v>
      </c>
      <c r="E16" s="242">
        <f>$B$4+0.01</f>
        <v>0.1038306074</v>
      </c>
      <c r="F16" s="242">
        <f>$B$4+0.02</f>
        <v>0.1138306074</v>
      </c>
    </row>
    <row r="17">
      <c r="A17" s="243">
        <v>0.02</v>
      </c>
      <c r="B17" s="244">
        <f t="shared" ref="B17:F17" si="1">(SUMPRODUCT($B$37:$G$37/(1+B$16)^$B$38:$G$38)+SUMPRODUCT($C$45:$G$45/(1+B$16)^$C$36:$G$36)+$H$45/(B$16-$A17)/(1+B$16)^$G$36+$B$11-$B$12)/1000000</f>
        <v>3.184212151</v>
      </c>
      <c r="C17" s="244">
        <f t="shared" si="1"/>
        <v>2.642960632</v>
      </c>
      <c r="D17" s="244">
        <f t="shared" si="1"/>
        <v>2.25092259</v>
      </c>
      <c r="E17" s="244">
        <f t="shared" si="1"/>
        <v>1.954571317</v>
      </c>
      <c r="F17" s="244">
        <f t="shared" si="1"/>
        <v>1.723205924</v>
      </c>
    </row>
    <row r="18">
      <c r="A18" s="243">
        <v>0.025</v>
      </c>
      <c r="B18" s="244">
        <f t="shared" ref="B18:F18" si="2">(SUMPRODUCT($B$37:$G$37/(1+B$16)^$B$38:$G$38)+SUMPRODUCT($C$52:$G$52/(1+B$16)^$C$36:$G$36)+$H$52/(B$16-$A18)/(1+B$16)^$G$36+$B$11-$B$12)/1000000</f>
        <v>3.314944743</v>
      </c>
      <c r="C18" s="244">
        <f t="shared" si="2"/>
        <v>2.713690098</v>
      </c>
      <c r="D18" s="244">
        <f t="shared" si="2"/>
        <v>2.289448196</v>
      </c>
      <c r="E18" s="244">
        <f t="shared" si="2"/>
        <v>1.974750392</v>
      </c>
      <c r="F18" s="244">
        <f t="shared" si="2"/>
        <v>1.732514099</v>
      </c>
    </row>
    <row r="19">
      <c r="A19" s="243">
        <v>0.03</v>
      </c>
      <c r="B19" s="244">
        <f t="shared" ref="B19:F19" si="3">(SUMPRODUCT($B$37:$G$37/(1+B$16)^$B$38:$G$38)+SUMPRODUCT($C$59:$G$59/(1+B$16)^$C$36:$G$36)+$H$59/(B$16-$A19)/(1+B$16)^$G$36+$B$11-$B$12)/1000000</f>
        <v>3.474225881</v>
      </c>
      <c r="C19" s="244">
        <f t="shared" si="3"/>
        <v>2.796621803</v>
      </c>
      <c r="D19" s="245">
        <f t="shared" si="3"/>
        <v>2.333298412</v>
      </c>
      <c r="E19" s="244">
        <f t="shared" si="3"/>
        <v>1.997109994</v>
      </c>
      <c r="F19" s="244">
        <f t="shared" si="3"/>
        <v>1.742495454</v>
      </c>
    </row>
    <row r="20">
      <c r="A20" s="243">
        <v>0.035</v>
      </c>
      <c r="B20" s="244">
        <f t="shared" ref="B20:F20" si="4">(SUMPRODUCT($B$37:$G$37/(1+B$16)^$B$38:$G$38)+SUMPRODUCT($C$66:$G$66/(1+B$16)^$C$36:$G$36)+$H$66/(B$16-$A20)/(1+B$16)^$G$36+$B$11-$B$12)/1000000</f>
        <v>3.672998008</v>
      </c>
      <c r="C20" s="244">
        <f t="shared" si="4"/>
        <v>2.895440213</v>
      </c>
      <c r="D20" s="244">
        <f t="shared" si="4"/>
        <v>2.3837811</v>
      </c>
      <c r="E20" s="244">
        <f t="shared" si="4"/>
        <v>2.022085379</v>
      </c>
      <c r="F20" s="244">
        <f t="shared" si="4"/>
        <v>1.753245299</v>
      </c>
    </row>
    <row r="21">
      <c r="A21" s="243">
        <v>0.04</v>
      </c>
      <c r="B21" s="244">
        <f t="shared" ref="B21:F21" si="5">(SUMPRODUCT($B$37:$G$37/(1+B$16)^$B$38:$G$38)+SUMPRODUCT($C$73:$G$73/(1+B$16)^$C$36:$G$36)+$H$73/(B$16-$A21)/(1+B$16)^$G$36+$B$11-$B$12)/1000000</f>
        <v>3.928673459</v>
      </c>
      <c r="C21" s="244">
        <f t="shared" si="5"/>
        <v>3.015511731</v>
      </c>
      <c r="D21" s="244">
        <f t="shared" si="5"/>
        <v>2.442690605</v>
      </c>
      <c r="E21" s="244">
        <f t="shared" si="5"/>
        <v>2.050248652</v>
      </c>
      <c r="F21" s="244">
        <f t="shared" si="5"/>
        <v>1.764885167</v>
      </c>
    </row>
    <row r="23">
      <c r="A23" s="154" t="s">
        <v>1366</v>
      </c>
      <c r="B23" s="159"/>
      <c r="C23" s="159"/>
      <c r="D23" s="159"/>
      <c r="E23" s="159"/>
      <c r="F23" s="159"/>
    </row>
    <row r="24">
      <c r="A24" s="154" t="s">
        <v>1365</v>
      </c>
      <c r="B24" s="242">
        <f t="shared" ref="B24:F24" si="6">B16</f>
        <v>0.07383060741</v>
      </c>
      <c r="C24" s="242">
        <f t="shared" si="6"/>
        <v>0.08383060741</v>
      </c>
      <c r="D24" s="242">
        <f t="shared" si="6"/>
        <v>0.09383060741</v>
      </c>
      <c r="E24" s="242">
        <f t="shared" si="6"/>
        <v>0.1038306074</v>
      </c>
      <c r="F24" s="242">
        <f t="shared" si="6"/>
        <v>0.1138306074</v>
      </c>
    </row>
    <row r="25">
      <c r="A25" s="246">
        <f t="shared" ref="A25:A29" si="8">A17</f>
        <v>0.02</v>
      </c>
      <c r="B25" s="247">
        <f t="shared" ref="B25:F25" si="7">B17*1000000/$B$13-1</f>
        <v>-0.1868712586</v>
      </c>
      <c r="C25" s="247">
        <f t="shared" si="7"/>
        <v>-0.3250866619</v>
      </c>
      <c r="D25" s="247">
        <f t="shared" si="7"/>
        <v>-0.4251985215</v>
      </c>
      <c r="E25" s="247">
        <f t="shared" si="7"/>
        <v>-0.5008755573</v>
      </c>
      <c r="F25" s="247">
        <f t="shared" si="7"/>
        <v>-0.5599576291</v>
      </c>
    </row>
    <row r="26">
      <c r="A26" s="246">
        <f t="shared" si="8"/>
        <v>0.025</v>
      </c>
      <c r="B26" s="247">
        <f t="shared" ref="B26:F26" si="9">B18*1000000/$B$13-1</f>
        <v>-0.1534870422</v>
      </c>
      <c r="C26" s="247">
        <f t="shared" si="9"/>
        <v>-0.3070250005</v>
      </c>
      <c r="D26" s="247">
        <f t="shared" si="9"/>
        <v>-0.4153605219</v>
      </c>
      <c r="E26" s="247">
        <f t="shared" si="9"/>
        <v>-0.4957225761</v>
      </c>
      <c r="F26" s="247">
        <f t="shared" si="9"/>
        <v>-0.5575806693</v>
      </c>
    </row>
    <row r="27">
      <c r="A27" s="246">
        <f t="shared" si="8"/>
        <v>0.03</v>
      </c>
      <c r="B27" s="247">
        <f t="shared" ref="B27:F27" si="10">B19*1000000/$B$13-1</f>
        <v>-0.1128125943</v>
      </c>
      <c r="C27" s="247">
        <f t="shared" si="10"/>
        <v>-0.2858473435</v>
      </c>
      <c r="D27" s="248">
        <f t="shared" si="10"/>
        <v>-0.404162816</v>
      </c>
      <c r="E27" s="247">
        <f t="shared" si="10"/>
        <v>-0.4900127696</v>
      </c>
      <c r="F27" s="247">
        <f t="shared" si="10"/>
        <v>-0.5550318045</v>
      </c>
    </row>
    <row r="28">
      <c r="A28" s="246">
        <f t="shared" si="8"/>
        <v>0.035</v>
      </c>
      <c r="B28" s="247">
        <f t="shared" ref="B28:F28" si="11">B20*1000000/$B$13-1</f>
        <v>-0.06205362405</v>
      </c>
      <c r="C28" s="247">
        <f t="shared" si="11"/>
        <v>-0.2606128159</v>
      </c>
      <c r="D28" s="247">
        <f t="shared" si="11"/>
        <v>-0.391271425</v>
      </c>
      <c r="E28" s="247">
        <f t="shared" si="11"/>
        <v>-0.4836349899</v>
      </c>
      <c r="F28" s="247">
        <f t="shared" si="11"/>
        <v>-0.5522866958</v>
      </c>
    </row>
    <row r="29">
      <c r="A29" s="246">
        <f t="shared" si="8"/>
        <v>0.04</v>
      </c>
      <c r="B29" s="247">
        <f t="shared" ref="B29:F29" si="12">B21*1000000/$B$13-1</f>
        <v>0.003236327599</v>
      </c>
      <c r="C29" s="247">
        <f t="shared" si="12"/>
        <v>-0.2299510392</v>
      </c>
      <c r="D29" s="247">
        <f t="shared" si="12"/>
        <v>-0.3762281397</v>
      </c>
      <c r="E29" s="247">
        <f t="shared" si="12"/>
        <v>-0.476443143</v>
      </c>
      <c r="F29" s="247">
        <f t="shared" si="12"/>
        <v>-0.5493143087</v>
      </c>
    </row>
    <row r="31">
      <c r="A31" s="89" t="s">
        <v>1367</v>
      </c>
      <c r="B31" s="241">
        <f>D19*1000000-(Valuation!B48+Valuation!B49-Valuation!B50)</f>
        <v>0.0000000004656612873</v>
      </c>
    </row>
    <row r="32">
      <c r="A32" s="89" t="s">
        <v>1368</v>
      </c>
      <c r="B32" s="232">
        <f>COUNTIF(B25:F29,"&gt;=0")</f>
        <v>1</v>
      </c>
    </row>
    <row r="34">
      <c r="A34" s="89" t="s">
        <v>607</v>
      </c>
      <c r="B34" s="249"/>
      <c r="C34" s="249">
        <f>Transition!C7</f>
        <v>0.2</v>
      </c>
      <c r="D34" s="249">
        <f>Transition!D7</f>
        <v>0.4</v>
      </c>
      <c r="E34" s="249">
        <f>Transition!E7</f>
        <v>0.6</v>
      </c>
      <c r="F34" s="249">
        <f>Transition!F7</f>
        <v>0.8</v>
      </c>
      <c r="G34" s="249">
        <f>Transition!G7</f>
        <v>1</v>
      </c>
      <c r="H34" s="249"/>
    </row>
    <row r="35">
      <c r="A35" s="89" t="s">
        <v>612</v>
      </c>
      <c r="B35" s="249"/>
      <c r="C35" s="249">
        <f>Transition!C12</f>
        <v>0.186</v>
      </c>
      <c r="D35" s="249">
        <f>Transition!D12</f>
        <v>0.192</v>
      </c>
      <c r="E35" s="249">
        <f>Transition!E12</f>
        <v>0.198</v>
      </c>
      <c r="F35" s="249">
        <f>Transition!F12</f>
        <v>0.204</v>
      </c>
      <c r="G35" s="249">
        <f>Transition!G12</f>
        <v>0.21</v>
      </c>
      <c r="H35" s="249">
        <f>Transition!H12</f>
        <v>0.21</v>
      </c>
    </row>
    <row r="36">
      <c r="A36" s="89" t="s">
        <v>1369</v>
      </c>
      <c r="B36" s="249"/>
      <c r="C36" s="249">
        <f>Transition!C19</f>
        <v>5.689041096</v>
      </c>
      <c r="D36" s="249">
        <f>Transition!D19</f>
        <v>6.689041096</v>
      </c>
      <c r="E36" s="249">
        <f>Transition!E19</f>
        <v>7.689041096</v>
      </c>
      <c r="F36" s="249">
        <f>Transition!F19</f>
        <v>8.689041096</v>
      </c>
      <c r="G36" s="249">
        <f>Transition!G19</f>
        <v>9.691780822</v>
      </c>
      <c r="H36" s="249"/>
    </row>
    <row r="37">
      <c r="A37" s="89" t="s">
        <v>1370</v>
      </c>
      <c r="B37" s="249">
        <f>Valuation!B38</f>
        <v>-10201.90241</v>
      </c>
      <c r="C37" s="249">
        <f>Valuation!C38</f>
        <v>713.3955457</v>
      </c>
      <c r="D37" s="249">
        <f>Valuation!D38</f>
        <v>45919.55455</v>
      </c>
      <c r="E37" s="249">
        <f>Valuation!E38</f>
        <v>72623.18612</v>
      </c>
      <c r="F37" s="249">
        <f>Valuation!F38</f>
        <v>109739.8093</v>
      </c>
      <c r="G37" s="249">
        <f>Valuation!G38</f>
        <v>145130.8425</v>
      </c>
      <c r="H37" s="249"/>
    </row>
    <row r="38">
      <c r="A38" s="89" t="s">
        <v>1371</v>
      </c>
      <c r="B38" s="249">
        <f>Valuation!B35</f>
        <v>0.09178082192</v>
      </c>
      <c r="C38" s="249">
        <f>Valuation!C35</f>
        <v>0.6835616438</v>
      </c>
      <c r="D38" s="249">
        <f>Valuation!D35</f>
        <v>1.68630137</v>
      </c>
      <c r="E38" s="249">
        <f>Valuation!E35</f>
        <v>2.68630137</v>
      </c>
      <c r="F38" s="249">
        <f>Valuation!F35</f>
        <v>3.68630137</v>
      </c>
      <c r="G38" s="249">
        <f>Valuation!G35</f>
        <v>4.68630137</v>
      </c>
      <c r="H38" s="249"/>
    </row>
    <row r="39">
      <c r="B39" s="250">
        <v>2031.0</v>
      </c>
      <c r="C39" s="250">
        <v>2032.0</v>
      </c>
      <c r="D39" s="250">
        <v>2033.0</v>
      </c>
      <c r="E39" s="250">
        <v>2034.0</v>
      </c>
      <c r="F39" s="250">
        <v>2035.0</v>
      </c>
      <c r="G39" s="250">
        <v>2036.0</v>
      </c>
      <c r="H39" s="250" t="s">
        <v>606</v>
      </c>
    </row>
    <row r="40">
      <c r="A40" s="89" t="s">
        <v>35</v>
      </c>
      <c r="B40" s="249">
        <f>A17</f>
        <v>0.02</v>
      </c>
      <c r="C40" s="249"/>
      <c r="D40" s="249"/>
      <c r="E40" s="249"/>
      <c r="F40" s="249"/>
      <c r="G40" s="249"/>
      <c r="H40" s="249"/>
    </row>
    <row r="41">
      <c r="A41" s="89" t="s">
        <v>609</v>
      </c>
      <c r="B41" s="249"/>
      <c r="C41" s="249">
        <f>$B$6*(1+$B$5+($B$40-$B$5)*C$34)</f>
        <v>1022062.124</v>
      </c>
      <c r="D41" s="249">
        <f t="shared" ref="D41:G41" si="13">C41*(1+$B$5+($B$40-$B$5)*D$34)</f>
        <v>1085239.692</v>
      </c>
      <c r="E41" s="249">
        <f t="shared" si="13"/>
        <v>1137196.499</v>
      </c>
      <c r="F41" s="249">
        <f t="shared" si="13"/>
        <v>1175790.607</v>
      </c>
      <c r="G41" s="249">
        <f t="shared" si="13"/>
        <v>1199306.419</v>
      </c>
      <c r="H41" s="249">
        <f>G41*(1+$B$40)</f>
        <v>1223292.547</v>
      </c>
    </row>
    <row r="42">
      <c r="A42" s="89" t="s">
        <v>648</v>
      </c>
      <c r="B42" s="249"/>
      <c r="C42" s="249">
        <f t="shared" ref="C42:H42" si="14">C41*$B$7*(1-C$35)</f>
        <v>237549.5333</v>
      </c>
      <c r="D42" s="249">
        <f t="shared" si="14"/>
        <v>250374.164</v>
      </c>
      <c r="E42" s="249">
        <f t="shared" si="14"/>
        <v>260412.8223</v>
      </c>
      <c r="F42" s="249">
        <f t="shared" si="14"/>
        <v>267236.3529</v>
      </c>
      <c r="G42" s="249">
        <f t="shared" si="14"/>
        <v>270526.4487</v>
      </c>
      <c r="H42" s="249">
        <f t="shared" si="14"/>
        <v>275936.9777</v>
      </c>
    </row>
    <row r="43">
      <c r="A43" s="89" t="s">
        <v>1372</v>
      </c>
      <c r="B43" s="249">
        <f>(C42-$B$8)/$B$9</f>
        <v>0.1952833164</v>
      </c>
      <c r="C43" s="249">
        <f t="shared" ref="C43:G43" si="15">$B43+(MIN($B43,$B$10)-$B43)*C$34</f>
        <v>0.1802266531</v>
      </c>
      <c r="D43" s="249">
        <f t="shared" si="15"/>
        <v>0.1651699898</v>
      </c>
      <c r="E43" s="249">
        <f t="shared" si="15"/>
        <v>0.1501133266</v>
      </c>
      <c r="F43" s="249">
        <f t="shared" si="15"/>
        <v>0.1350566633</v>
      </c>
      <c r="G43" s="249">
        <f t="shared" si="15"/>
        <v>0.12</v>
      </c>
      <c r="H43" s="249">
        <f>MIN($B43,$B$10)</f>
        <v>0.12</v>
      </c>
    </row>
    <row r="44">
      <c r="A44" s="89" t="s">
        <v>1373</v>
      </c>
      <c r="B44" s="249"/>
      <c r="C44" s="249">
        <f t="shared" ref="C44:G44" si="16">(D42-C42)/C43</f>
        <v>71158.34695</v>
      </c>
      <c r="D44" s="249">
        <f t="shared" si="16"/>
        <v>60777.73775</v>
      </c>
      <c r="E44" s="249">
        <f t="shared" si="16"/>
        <v>45455.86182</v>
      </c>
      <c r="F44" s="249">
        <f t="shared" si="16"/>
        <v>24360.85508</v>
      </c>
      <c r="G44" s="249">
        <f t="shared" si="16"/>
        <v>45087.74145</v>
      </c>
      <c r="H44" s="249"/>
    </row>
    <row r="45">
      <c r="A45" s="89" t="s">
        <v>1374</v>
      </c>
      <c r="B45" s="249"/>
      <c r="C45" s="249">
        <f t="shared" ref="C45:G45" si="17">C42-C44</f>
        <v>166391.1863</v>
      </c>
      <c r="D45" s="249">
        <f t="shared" si="17"/>
        <v>189596.4262</v>
      </c>
      <c r="E45" s="249">
        <f t="shared" si="17"/>
        <v>214956.9605</v>
      </c>
      <c r="F45" s="249">
        <f t="shared" si="17"/>
        <v>242875.4978</v>
      </c>
      <c r="G45" s="249">
        <f t="shared" si="17"/>
        <v>225438.7073</v>
      </c>
      <c r="H45" s="249">
        <f>H42*(1-$B$40/H43)</f>
        <v>229947.4814</v>
      </c>
    </row>
    <row r="46">
      <c r="B46" s="249"/>
      <c r="C46" s="249"/>
      <c r="D46" s="249"/>
      <c r="E46" s="249"/>
      <c r="F46" s="249"/>
      <c r="G46" s="249"/>
      <c r="H46" s="249"/>
    </row>
    <row r="47">
      <c r="A47" s="89" t="s">
        <v>35</v>
      </c>
      <c r="B47" s="249">
        <f>A18</f>
        <v>0.025</v>
      </c>
      <c r="C47" s="249"/>
      <c r="D47" s="249"/>
      <c r="E47" s="249"/>
      <c r="F47" s="249"/>
      <c r="G47" s="249"/>
      <c r="H47" s="249"/>
    </row>
    <row r="48">
      <c r="A48" s="89" t="s">
        <v>609</v>
      </c>
      <c r="B48" s="249"/>
      <c r="C48" s="249">
        <f>$B$6*(1+$B$5+($B$47-$B$5)*C$34)</f>
        <v>1023012.215</v>
      </c>
      <c r="D48" s="249">
        <f t="shared" ref="D48:G48" si="18">C48*(1+$B$5+($B$47-$B$5)*D$34)</f>
        <v>1088294.536</v>
      </c>
      <c r="E48" s="249">
        <f t="shared" si="18"/>
        <v>1143662.48</v>
      </c>
      <c r="F48" s="249">
        <f t="shared" si="18"/>
        <v>1187050.68</v>
      </c>
      <c r="G48" s="249">
        <f t="shared" si="18"/>
        <v>1216726.947</v>
      </c>
      <c r="H48" s="249">
        <f>G48*(1+$B$47)</f>
        <v>1247145.121</v>
      </c>
    </row>
    <row r="49">
      <c r="A49" s="89" t="s">
        <v>648</v>
      </c>
      <c r="B49" s="249"/>
      <c r="C49" s="249">
        <f t="shared" ref="C49:H49" si="19">C48*$B$7*(1-C$35)</f>
        <v>237770.3551</v>
      </c>
      <c r="D49" s="249">
        <f t="shared" si="19"/>
        <v>251078.9429</v>
      </c>
      <c r="E49" s="249">
        <f t="shared" si="19"/>
        <v>261893.5026</v>
      </c>
      <c r="F49" s="249">
        <f t="shared" si="19"/>
        <v>269795.5679</v>
      </c>
      <c r="G49" s="249">
        <f t="shared" si="19"/>
        <v>274455.9813</v>
      </c>
      <c r="H49" s="249">
        <f t="shared" si="19"/>
        <v>281317.3808</v>
      </c>
    </row>
    <row r="50">
      <c r="A50" s="89" t="s">
        <v>1372</v>
      </c>
      <c r="B50" s="249">
        <f>(C49-$B$8)/$B$9</f>
        <v>0.1981391391</v>
      </c>
      <c r="C50" s="249">
        <f t="shared" ref="C50:G50" si="20">$B50+(MIN($B50,$B$10)-$B50)*C$34</f>
        <v>0.1825113113</v>
      </c>
      <c r="D50" s="249">
        <f t="shared" si="20"/>
        <v>0.1668834835</v>
      </c>
      <c r="E50" s="249">
        <f t="shared" si="20"/>
        <v>0.1512556556</v>
      </c>
      <c r="F50" s="249">
        <f t="shared" si="20"/>
        <v>0.1356278278</v>
      </c>
      <c r="G50" s="249">
        <f t="shared" si="20"/>
        <v>0.12</v>
      </c>
      <c r="H50" s="249">
        <f>MIN($B50,$B$10)</f>
        <v>0.12</v>
      </c>
    </row>
    <row r="51">
      <c r="A51" s="89" t="s">
        <v>1373</v>
      </c>
      <c r="B51" s="249"/>
      <c r="C51" s="249">
        <f t="shared" ref="C51:G51" si="21">(D49-C49)/C50</f>
        <v>72919.24905</v>
      </c>
      <c r="D51" s="249">
        <f t="shared" si="21"/>
        <v>64803.05561</v>
      </c>
      <c r="E51" s="249">
        <f t="shared" si="21"/>
        <v>52243.10642</v>
      </c>
      <c r="F51" s="249">
        <f t="shared" si="21"/>
        <v>34361.77859</v>
      </c>
      <c r="G51" s="249">
        <f t="shared" si="21"/>
        <v>57178.32943</v>
      </c>
      <c r="H51" s="249"/>
    </row>
    <row r="52">
      <c r="A52" s="89" t="s">
        <v>1374</v>
      </c>
      <c r="B52" s="249"/>
      <c r="C52" s="249">
        <f t="shared" ref="C52:G52" si="22">C49-C51</f>
        <v>164851.1061</v>
      </c>
      <c r="D52" s="249">
        <f t="shared" si="22"/>
        <v>186275.8873</v>
      </c>
      <c r="E52" s="249">
        <f t="shared" si="22"/>
        <v>209650.3961</v>
      </c>
      <c r="F52" s="249">
        <f t="shared" si="22"/>
        <v>235433.7893</v>
      </c>
      <c r="G52" s="249">
        <f t="shared" si="22"/>
        <v>217277.6518</v>
      </c>
      <c r="H52" s="249">
        <f>H49*(1-$B$47/H50)</f>
        <v>222709.5931</v>
      </c>
    </row>
    <row r="53">
      <c r="B53" s="249"/>
      <c r="C53" s="249"/>
      <c r="D53" s="249"/>
      <c r="E53" s="249"/>
      <c r="F53" s="249"/>
      <c r="G53" s="249"/>
      <c r="H53" s="249"/>
    </row>
    <row r="54">
      <c r="A54" s="89" t="s">
        <v>35</v>
      </c>
      <c r="B54" s="249">
        <f>A19</f>
        <v>0.03</v>
      </c>
      <c r="C54" s="249"/>
      <c r="D54" s="249"/>
      <c r="E54" s="249"/>
      <c r="F54" s="249"/>
      <c r="G54" s="249"/>
      <c r="H54" s="249"/>
    </row>
    <row r="55">
      <c r="A55" s="89" t="s">
        <v>609</v>
      </c>
      <c r="B55" s="249"/>
      <c r="C55" s="249">
        <f>$B$6*(1+$B$5+($B$54-$B$5)*C$34)</f>
        <v>1023962.307</v>
      </c>
      <c r="D55" s="249">
        <f t="shared" ref="D55:G55" si="23">C55*(1+$B$5+($B$54-$B$5)*D$34)</f>
        <v>1091353.181</v>
      </c>
      <c r="E55" s="249">
        <f t="shared" si="23"/>
        <v>1150150.796</v>
      </c>
      <c r="F55" s="249">
        <f t="shared" si="23"/>
        <v>1198385.752</v>
      </c>
      <c r="G55" s="249">
        <f t="shared" si="23"/>
        <v>1234337.324</v>
      </c>
      <c r="H55" s="249">
        <f>G55*(1+$B$54)</f>
        <v>1271367.444</v>
      </c>
    </row>
    <row r="56">
      <c r="A56" s="89" t="s">
        <v>648</v>
      </c>
      <c r="B56" s="249"/>
      <c r="C56" s="249">
        <f t="shared" ref="C56:H56" si="24">C55*$B$7*(1-C$35)</f>
        <v>237991.177</v>
      </c>
      <c r="D56" s="249">
        <f t="shared" si="24"/>
        <v>251784.5986</v>
      </c>
      <c r="E56" s="249">
        <f t="shared" si="24"/>
        <v>263379.2973</v>
      </c>
      <c r="F56" s="249">
        <f t="shared" si="24"/>
        <v>272371.8287</v>
      </c>
      <c r="G56" s="249">
        <f t="shared" si="24"/>
        <v>278428.338</v>
      </c>
      <c r="H56" s="249">
        <f t="shared" si="24"/>
        <v>286781.1881</v>
      </c>
    </row>
    <row r="57">
      <c r="A57" s="89" t="s">
        <v>1372</v>
      </c>
      <c r="B57" s="249">
        <f>(C56-$B$8)/$B$9</f>
        <v>0.2009949618</v>
      </c>
      <c r="C57" s="249">
        <f t="shared" ref="C57:G57" si="25">$B57+(MIN($B57,$B$10)-$B57)*C$34</f>
        <v>0.1847959694</v>
      </c>
      <c r="D57" s="249">
        <f t="shared" si="25"/>
        <v>0.1685969771</v>
      </c>
      <c r="E57" s="249">
        <f t="shared" si="25"/>
        <v>0.1523979847</v>
      </c>
      <c r="F57" s="249">
        <f t="shared" si="25"/>
        <v>0.1361989924</v>
      </c>
      <c r="G57" s="249">
        <f t="shared" si="25"/>
        <v>0.12</v>
      </c>
      <c r="H57" s="249">
        <f>MIN($B57,$B$10)</f>
        <v>0.12</v>
      </c>
    </row>
    <row r="58">
      <c r="A58" s="89" t="s">
        <v>1373</v>
      </c>
      <c r="B58" s="249"/>
      <c r="C58" s="249">
        <f t="shared" ref="C58:G58" si="26">(D56-C56)/C57</f>
        <v>74641.35516</v>
      </c>
      <c r="D58" s="249">
        <f t="shared" si="26"/>
        <v>68771.68762</v>
      </c>
      <c r="E58" s="249">
        <f t="shared" si="26"/>
        <v>59006.89212</v>
      </c>
      <c r="F58" s="249">
        <f t="shared" si="26"/>
        <v>44468.09151</v>
      </c>
      <c r="G58" s="249">
        <f t="shared" si="26"/>
        <v>69607.08449</v>
      </c>
      <c r="H58" s="249"/>
    </row>
    <row r="59">
      <c r="A59" s="89" t="s">
        <v>1374</v>
      </c>
      <c r="B59" s="249"/>
      <c r="C59" s="249">
        <f t="shared" ref="C59:G59" si="27">C56-C58</f>
        <v>163349.8219</v>
      </c>
      <c r="D59" s="249">
        <f t="shared" si="27"/>
        <v>183012.911</v>
      </c>
      <c r="E59" s="249">
        <f t="shared" si="27"/>
        <v>204372.4051</v>
      </c>
      <c r="F59" s="249">
        <f t="shared" si="27"/>
        <v>227903.7372</v>
      </c>
      <c r="G59" s="249">
        <f t="shared" si="27"/>
        <v>208821.2535</v>
      </c>
      <c r="H59" s="249">
        <f>H56*(1-$B$54/H57)</f>
        <v>215085.8911</v>
      </c>
    </row>
    <row r="60">
      <c r="B60" s="249"/>
      <c r="C60" s="249"/>
      <c r="D60" s="249"/>
      <c r="E60" s="249"/>
      <c r="F60" s="249"/>
      <c r="G60" s="249"/>
      <c r="H60" s="249"/>
    </row>
    <row r="61">
      <c r="A61" s="89" t="s">
        <v>35</v>
      </c>
      <c r="B61" s="249">
        <f>A20</f>
        <v>0.035</v>
      </c>
      <c r="C61" s="249"/>
      <c r="D61" s="249"/>
      <c r="E61" s="249"/>
      <c r="F61" s="249"/>
      <c r="G61" s="249"/>
      <c r="H61" s="249"/>
    </row>
    <row r="62">
      <c r="A62" s="89" t="s">
        <v>609</v>
      </c>
      <c r="B62" s="249"/>
      <c r="C62" s="249">
        <f>$B$6*(1+$B$5+($B$61-$B$5)*C$34)</f>
        <v>1024912.398</v>
      </c>
      <c r="D62" s="249">
        <f t="shared" ref="D62:G62" si="28">C62*(1+$B$5+($B$61-$B$5)*D$34)</f>
        <v>1094415.626</v>
      </c>
      <c r="E62" s="249">
        <f t="shared" si="28"/>
        <v>1156661.479</v>
      </c>
      <c r="F62" s="249">
        <f t="shared" si="28"/>
        <v>1209796.126</v>
      </c>
      <c r="G62" s="249">
        <f t="shared" si="28"/>
        <v>1252138.991</v>
      </c>
      <c r="H62" s="249">
        <f>G62*(1+$B$61)</f>
        <v>1295963.855</v>
      </c>
    </row>
    <row r="63">
      <c r="A63" s="89" t="s">
        <v>648</v>
      </c>
      <c r="B63" s="249"/>
      <c r="C63" s="249">
        <f t="shared" ref="C63:H63" si="29">C62*$B$7*(1-C$35)</f>
        <v>238211.9989</v>
      </c>
      <c r="D63" s="249">
        <f t="shared" si="29"/>
        <v>252491.1311</v>
      </c>
      <c r="E63" s="249">
        <f t="shared" si="29"/>
        <v>264870.2142</v>
      </c>
      <c r="F63" s="249">
        <f t="shared" si="29"/>
        <v>274965.2044</v>
      </c>
      <c r="G63" s="249">
        <f t="shared" si="29"/>
        <v>282443.8435</v>
      </c>
      <c r="H63" s="249">
        <f t="shared" si="29"/>
        <v>292329.378</v>
      </c>
    </row>
    <row r="64">
      <c r="A64" s="89" t="s">
        <v>1372</v>
      </c>
      <c r="B64" s="249">
        <f>(C63-$B$8)/$B$9</f>
        <v>0.2038507845</v>
      </c>
      <c r="C64" s="249">
        <f t="shared" ref="C64:G64" si="30">$B64+(MIN($B64,$B$10)-$B64)*C$34</f>
        <v>0.1870806276</v>
      </c>
      <c r="D64" s="249">
        <f t="shared" si="30"/>
        <v>0.1703104707</v>
      </c>
      <c r="E64" s="249">
        <f t="shared" si="30"/>
        <v>0.1535403138</v>
      </c>
      <c r="F64" s="249">
        <f t="shared" si="30"/>
        <v>0.1367701569</v>
      </c>
      <c r="G64" s="249">
        <f t="shared" si="30"/>
        <v>0.12</v>
      </c>
      <c r="H64" s="249">
        <f>MIN($B64,$B$10)</f>
        <v>0.12</v>
      </c>
    </row>
    <row r="65">
      <c r="A65" s="89" t="s">
        <v>1373</v>
      </c>
      <c r="B65" s="249"/>
      <c r="C65" s="249">
        <f t="shared" ref="C65:G65" si="31">(D63-C63)/C64</f>
        <v>76326.08663</v>
      </c>
      <c r="D65" s="249">
        <f t="shared" si="31"/>
        <v>72685.39071</v>
      </c>
      <c r="E65" s="249">
        <f t="shared" si="31"/>
        <v>65748.14119</v>
      </c>
      <c r="F65" s="249">
        <f t="shared" si="31"/>
        <v>54680.34263</v>
      </c>
      <c r="G65" s="249">
        <f t="shared" si="31"/>
        <v>82379.45435</v>
      </c>
      <c r="H65" s="249"/>
    </row>
    <row r="66">
      <c r="A66" s="89" t="s">
        <v>1374</v>
      </c>
      <c r="B66" s="249"/>
      <c r="C66" s="249">
        <f t="shared" ref="C66:G66" si="32">C63-C65</f>
        <v>161885.9123</v>
      </c>
      <c r="D66" s="249">
        <f t="shared" si="32"/>
        <v>179805.7404</v>
      </c>
      <c r="E66" s="249">
        <f t="shared" si="32"/>
        <v>199122.073</v>
      </c>
      <c r="F66" s="249">
        <f t="shared" si="32"/>
        <v>220284.8618</v>
      </c>
      <c r="G66" s="249">
        <f t="shared" si="32"/>
        <v>200064.3891</v>
      </c>
      <c r="H66" s="249">
        <f>H63*(1-$B$61/H64)</f>
        <v>207066.6427</v>
      </c>
    </row>
    <row r="67">
      <c r="B67" s="249"/>
      <c r="C67" s="249"/>
      <c r="D67" s="249"/>
      <c r="E67" s="249"/>
      <c r="F67" s="249"/>
      <c r="G67" s="249"/>
      <c r="H67" s="249"/>
    </row>
    <row r="68">
      <c r="A68" s="89" t="s">
        <v>35</v>
      </c>
      <c r="B68" s="249">
        <f>A21</f>
        <v>0.04</v>
      </c>
      <c r="C68" s="249"/>
      <c r="D68" s="249"/>
      <c r="E68" s="249"/>
      <c r="F68" s="249"/>
      <c r="G68" s="249"/>
      <c r="H68" s="249"/>
    </row>
    <row r="69">
      <c r="A69" s="89" t="s">
        <v>609</v>
      </c>
      <c r="B69" s="249"/>
      <c r="C69" s="249">
        <f>$B$6*(1+$B$5+($B$68-$B$5)*C$34)</f>
        <v>1025862.489</v>
      </c>
      <c r="D69" s="249">
        <f t="shared" ref="D69:G69" si="33">C69*(1+$B$5+($B$68-$B$5)*D$34)</f>
        <v>1097481.871</v>
      </c>
      <c r="E69" s="249">
        <f t="shared" si="33"/>
        <v>1163194.566</v>
      </c>
      <c r="F69" s="249">
        <f t="shared" si="33"/>
        <v>1221282.107</v>
      </c>
      <c r="G69" s="249">
        <f t="shared" si="33"/>
        <v>1270133.392</v>
      </c>
      <c r="H69" s="249">
        <f>G69*(1+$B$68)</f>
        <v>1320938.727</v>
      </c>
    </row>
    <row r="70">
      <c r="A70" s="89" t="s">
        <v>648</v>
      </c>
      <c r="B70" s="249"/>
      <c r="C70" s="249">
        <f t="shared" ref="C70:H70" si="34">C69*$B$7*(1-C$35)</f>
        <v>238432.8208</v>
      </c>
      <c r="D70" s="249">
        <f t="shared" si="34"/>
        <v>253198.5404</v>
      </c>
      <c r="E70" s="249">
        <f t="shared" si="34"/>
        <v>266366.2612</v>
      </c>
      <c r="F70" s="249">
        <f t="shared" si="34"/>
        <v>277575.7642</v>
      </c>
      <c r="G70" s="249">
        <f t="shared" si="34"/>
        <v>286502.824</v>
      </c>
      <c r="H70" s="249">
        <f t="shared" si="34"/>
        <v>297962.937</v>
      </c>
    </row>
    <row r="71">
      <c r="A71" s="89" t="s">
        <v>1372</v>
      </c>
      <c r="B71" s="249">
        <f>(C70-$B$8)/$B$9</f>
        <v>0.2067066072</v>
      </c>
      <c r="C71" s="249">
        <f t="shared" ref="C71:G71" si="35">$B71+(MIN($B71,$B$10)-$B71)*C$34</f>
        <v>0.1893652857</v>
      </c>
      <c r="D71" s="249">
        <f t="shared" si="35"/>
        <v>0.1720239643</v>
      </c>
      <c r="E71" s="249">
        <f t="shared" si="35"/>
        <v>0.1546826429</v>
      </c>
      <c r="F71" s="249">
        <f t="shared" si="35"/>
        <v>0.1373413214</v>
      </c>
      <c r="G71" s="249">
        <f t="shared" si="35"/>
        <v>0.12</v>
      </c>
      <c r="H71" s="249">
        <f>MIN($B71,$B$10)</f>
        <v>0.12</v>
      </c>
    </row>
    <row r="72">
      <c r="A72" s="89" t="s">
        <v>1373</v>
      </c>
      <c r="B72" s="249"/>
      <c r="C72" s="249">
        <f t="shared" ref="C72:G72" si="36">(D70-C70)/C71</f>
        <v>77974.79622</v>
      </c>
      <c r="D72" s="249">
        <f t="shared" si="36"/>
        <v>76545.8518</v>
      </c>
      <c r="E72" s="249">
        <f t="shared" si="36"/>
        <v>72467.74945</v>
      </c>
      <c r="F72" s="249">
        <f t="shared" si="36"/>
        <v>64999.08157</v>
      </c>
      <c r="G72" s="249">
        <f t="shared" si="36"/>
        <v>95500.94133</v>
      </c>
      <c r="H72" s="249"/>
    </row>
    <row r="73">
      <c r="A73" s="89" t="s">
        <v>1374</v>
      </c>
      <c r="B73" s="249"/>
      <c r="C73" s="249">
        <f t="shared" ref="C73:G73" si="37">C70-C72</f>
        <v>160458.0246</v>
      </c>
      <c r="D73" s="249">
        <f t="shared" si="37"/>
        <v>176652.6886</v>
      </c>
      <c r="E73" s="249">
        <f t="shared" si="37"/>
        <v>193898.5118</v>
      </c>
      <c r="F73" s="249">
        <f t="shared" si="37"/>
        <v>212576.6827</v>
      </c>
      <c r="G73" s="249">
        <f t="shared" si="37"/>
        <v>191001.8827</v>
      </c>
      <c r="H73" s="249">
        <f>H70*(1-$B$68/H71)</f>
        <v>198641.958</v>
      </c>
    </row>
    <row r="74">
      <c r="B74" s="249"/>
      <c r="C74" s="249"/>
      <c r="D74" s="249"/>
      <c r="E74" s="249"/>
      <c r="F74" s="249"/>
      <c r="G74" s="249"/>
      <c r="H74" s="249"/>
    </row>
  </sheetData>
  <conditionalFormatting sqref="B25:F29">
    <cfRule type="colorScale" priority="1">
      <colorScale>
        <cfvo type="min"/>
        <cfvo type="percentile" val="50"/>
        <cfvo type="formula" val="0"/>
        <color rgb="FFE06666"/>
        <color rgb="FFF9D8BF"/>
        <color rgb="FFFFFFFF"/>
      </colorScale>
    </cfRule>
  </conditionalFormatting>
  <conditionalFormatting sqref="B17:F21">
    <cfRule type="colorScale" priority="2">
      <colorScale>
        <cfvo type="min"/>
        <cfvo type="max"/>
        <color rgb="FFEFF4FF"/>
        <color rgb="FF6D9EEA"/>
      </colorScale>
    </cfRule>
  </conditionalFormatting>
  <drawing r:id="rId1"/>
</worksheet>
</file>